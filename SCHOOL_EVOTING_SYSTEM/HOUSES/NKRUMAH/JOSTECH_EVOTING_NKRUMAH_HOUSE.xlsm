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JOSTECH_EVOTING_SYSTEM\HOUSES\NKRUMAH\"/>
    </mc:Choice>
  </mc:AlternateContent>
  <bookViews>
    <workbookView xWindow="5100" yWindow="2595" windowWidth="15300" windowHeight="8325" tabRatio="754" firstSheet="1" activeTab="1"/>
  </bookViews>
  <sheets>
    <sheet name="Interface" sheetId="1" r:id="rId1"/>
    <sheet name="Admin" sheetId="7" r:id="rId2"/>
    <sheet name="Information" sheetId="11" r:id="rId3"/>
    <sheet name="Login Data" sheetId="8" r:id="rId4"/>
    <sheet name="Voter's Name" sheetId="2" r:id="rId5"/>
    <sheet name="Summary" sheetId="10" r:id="rId6"/>
    <sheet name="Candidates" sheetId="3" r:id="rId7"/>
    <sheet name="Tally of Votes" sheetId="4" r:id="rId8"/>
  </sheets>
  <definedNames>
    <definedName name="_xlnm._FilterDatabase" localSheetId="7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1" l="1"/>
  <c r="J16" i="1"/>
  <c r="L16" i="1" l="1"/>
  <c r="AG6" i="4"/>
  <c r="AG5" i="4"/>
  <c r="AG4" i="4"/>
  <c r="AA2" i="4"/>
  <c r="AE2" i="4"/>
  <c r="AF7" i="4"/>
  <c r="AF6" i="4"/>
  <c r="AF5" i="4"/>
  <c r="AF4" i="4"/>
  <c r="AF3" i="4"/>
  <c r="AG3" i="4" s="1"/>
  <c r="AF2" i="4"/>
  <c r="AG2" i="4" s="1"/>
  <c r="AD3" i="4"/>
  <c r="AD2" i="4"/>
  <c r="T5" i="4"/>
  <c r="T4" i="4"/>
  <c r="T3" i="4"/>
  <c r="T2" i="4"/>
  <c r="R9" i="4"/>
  <c r="R5" i="4"/>
  <c r="R4" i="4"/>
  <c r="R3" i="4"/>
  <c r="R2" i="4"/>
  <c r="B2" i="10" l="1"/>
  <c r="B1" i="10"/>
  <c r="T6" i="4" l="1"/>
  <c r="T7" i="4"/>
  <c r="T8" i="4"/>
  <c r="T9" i="4"/>
  <c r="T10" i="4"/>
  <c r="T11" i="4"/>
  <c r="AD4" i="4"/>
  <c r="AD5" i="4"/>
  <c r="AD6" i="4"/>
  <c r="AD7" i="4"/>
  <c r="AD8" i="4"/>
  <c r="AD9" i="4"/>
  <c r="AD10" i="4"/>
  <c r="AD11" i="4"/>
  <c r="AB3" i="4"/>
  <c r="AB4" i="4"/>
  <c r="AB5" i="4"/>
  <c r="AB6" i="4"/>
  <c r="AB7" i="4"/>
  <c r="AB8" i="4"/>
  <c r="AB9" i="4"/>
  <c r="AB10" i="4"/>
  <c r="AB11" i="4"/>
  <c r="AB2" i="4"/>
  <c r="Z3" i="4"/>
  <c r="Z4" i="4"/>
  <c r="Z5" i="4"/>
  <c r="Z6" i="4"/>
  <c r="Z7" i="4"/>
  <c r="Z8" i="4"/>
  <c r="Z9" i="4"/>
  <c r="Z10" i="4"/>
  <c r="Z11" i="4"/>
  <c r="Z2" i="4"/>
  <c r="X3" i="4"/>
  <c r="X4" i="4"/>
  <c r="X5" i="4"/>
  <c r="X6" i="4"/>
  <c r="X7" i="4"/>
  <c r="X8" i="4"/>
  <c r="X9" i="4"/>
  <c r="X10" i="4"/>
  <c r="X11" i="4"/>
  <c r="X2" i="4"/>
  <c r="V3" i="4"/>
  <c r="V4" i="4"/>
  <c r="V5" i="4"/>
  <c r="V6" i="4"/>
  <c r="V7" i="4"/>
  <c r="V8" i="4"/>
  <c r="V9" i="4"/>
  <c r="V10" i="4"/>
  <c r="V11" i="4"/>
  <c r="V2" i="4"/>
  <c r="R6" i="4"/>
  <c r="R7" i="4"/>
  <c r="R8" i="4"/>
  <c r="R10" i="4"/>
  <c r="R11" i="4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AA8" i="4" l="1"/>
  <c r="AC10" i="4"/>
  <c r="AC6" i="4"/>
  <c r="AE8" i="4"/>
  <c r="U2" i="4"/>
  <c r="S2" i="4"/>
  <c r="Q2" i="4"/>
  <c r="C5" i="10" s="1"/>
  <c r="Q3" i="4"/>
  <c r="C6" i="10" s="1"/>
  <c r="S3" i="4"/>
  <c r="AE4" i="4"/>
  <c r="AA4" i="4"/>
  <c r="W2" i="4"/>
  <c r="Y10" i="4"/>
  <c r="Y6" i="4"/>
  <c r="W8" i="4"/>
  <c r="W4" i="4"/>
  <c r="U7" i="4"/>
  <c r="U5" i="4"/>
  <c r="S8" i="4"/>
  <c r="S7" i="4"/>
  <c r="S4" i="4"/>
  <c r="S11" i="4"/>
  <c r="Q11" i="4"/>
  <c r="Q10" i="4"/>
  <c r="Q7" i="4"/>
  <c r="C10" i="10" s="1"/>
  <c r="Q6" i="4"/>
  <c r="C9" i="10" s="1"/>
  <c r="W7" i="4"/>
  <c r="W3" i="4"/>
  <c r="Y5" i="4"/>
  <c r="AA11" i="4"/>
  <c r="AA7" i="4"/>
  <c r="AA3" i="4"/>
  <c r="AC9" i="4"/>
  <c r="AC5" i="4"/>
  <c r="AE11" i="4"/>
  <c r="AE7" i="4"/>
  <c r="AE3" i="4"/>
  <c r="Q4" i="4"/>
  <c r="C7" i="10" s="1"/>
  <c r="Q8" i="4"/>
  <c r="C11" i="10" s="1"/>
  <c r="S10" i="4"/>
  <c r="S6" i="4"/>
  <c r="U11" i="4"/>
  <c r="U3" i="4"/>
  <c r="U8" i="4"/>
  <c r="U4" i="4"/>
  <c r="W10" i="4"/>
  <c r="W6" i="4"/>
  <c r="Y2" i="4"/>
  <c r="Y8" i="4"/>
  <c r="Y4" i="4"/>
  <c r="AA10" i="4"/>
  <c r="AA6" i="4"/>
  <c r="AC2" i="4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Y11" i="4"/>
  <c r="Y7" i="4"/>
  <c r="Y3" i="4"/>
  <c r="AA9" i="4"/>
  <c r="AA5" i="4"/>
  <c r="AC11" i="4"/>
  <c r="AC7" i="4"/>
  <c r="AC3" i="4"/>
  <c r="AE9" i="4"/>
  <c r="AE5" i="4"/>
  <c r="U10" i="4"/>
  <c r="U6" i="4"/>
  <c r="F5" i="8" l="1"/>
  <c r="F4" i="7"/>
  <c r="E5" i="1" l="1"/>
</calcChain>
</file>

<file path=xl/sharedStrings.xml><?xml version="1.0" encoding="utf-8"?>
<sst xmlns="http://schemas.openxmlformats.org/spreadsheetml/2006/main" count="249" uniqueCount="85">
  <si>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</si>
  <si>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</si>
  <si>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</si>
  <si>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</si>
  <si>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</si>
  <si>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</si>
  <si>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</si>
  <si>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</si>
  <si>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</si>
  <si>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</si>
  <si>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</si>
  <si>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</si>
  <si>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</si>
  <si>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</si>
  <si>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</si>
  <si>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</si>
  <si>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</si>
  <si>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</si>
  <si>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</si>
  <si>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</si>
  <si>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</si>
  <si>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</si>
  <si>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</si>
  <si>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KPP Partylist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</si>
  <si>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</si>
  <si>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</si>
  <si>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</si>
  <si>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</si>
  <si>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</si>
  <si>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</si>
  <si>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</si>
  <si>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</si>
  <si>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</si>
  <si>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</si>
  <si>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</si>
  <si>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</si>
  <si>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</si>
  <si>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</si>
  <si>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</si>
  <si>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>Jonas Adiku</t>
  </si>
  <si>
    <t>Divine Jonas</t>
  </si>
  <si>
    <t>C:\JOSTECH_VOTING_SYSTEM\candidates_images\SRC President\</t>
  </si>
  <si>
    <t>C:\JOSTECH_VOTING_SYSTEM\candidates_images\Girls Prefect\</t>
  </si>
  <si>
    <t>Tahiru Basimyam</t>
  </si>
  <si>
    <t>Aliko Jonas</t>
  </si>
  <si>
    <t>C:\JOSTECH_VOTING_SYSTEM\candidates_images\Library prefect\</t>
  </si>
  <si>
    <t>Mbilla Asitang</t>
  </si>
  <si>
    <t>Mohammed Salla</t>
  </si>
  <si>
    <t>C:\JOSTECH_VOTING_SYSTEM\candidates_images\Health prefect\</t>
  </si>
  <si>
    <t>C:\JOSTECH_VOTING_SYSTEM\candidates_images\Entertainment  prefect\</t>
  </si>
  <si>
    <t>C:\JOSTECH_VOTING_SYSTEM\candidates_images\Discipline  prefect\</t>
  </si>
  <si>
    <t>C:\JOSTECH_VOTING_SYSTEM\candidates_images\Dinning  prefect\</t>
  </si>
  <si>
    <t xml:space="preserve">DATA SHEET FOR CANDIDATES </t>
  </si>
  <si>
    <t>SENIOR BOYS PREFECT</t>
  </si>
  <si>
    <t>Atambugri Mary</t>
  </si>
  <si>
    <t xml:space="preserve">Mahmudu sukura </t>
  </si>
  <si>
    <t xml:space="preserve">Issifu Hassana </t>
  </si>
  <si>
    <t>George Divine</t>
  </si>
  <si>
    <t>Abugri Awini</t>
  </si>
  <si>
    <t>temsec</t>
  </si>
  <si>
    <t xml:space="preserve">  </t>
  </si>
  <si>
    <t xml:space="preserve">AGRIC PREFECT </t>
  </si>
  <si>
    <t xml:space="preserve">                                </t>
  </si>
  <si>
    <t>SRC GENERAL  SECRETARY</t>
  </si>
  <si>
    <t>hello</t>
  </si>
  <si>
    <t>fkgjrkr</t>
  </si>
  <si>
    <t>nnkfngkfngkfr</t>
  </si>
  <si>
    <t>rekgnkrngkrg</t>
  </si>
  <si>
    <t>kk</t>
  </si>
  <si>
    <t>kkk</t>
  </si>
  <si>
    <t xml:space="preserve">senior boys prefect </t>
  </si>
  <si>
    <t xml:space="preserve">girls prefect </t>
  </si>
  <si>
    <t>src secretary</t>
  </si>
  <si>
    <t xml:space="preserve">NKRUMAH HOUSE ELECTIONS </t>
  </si>
  <si>
    <t xml:space="preserve">HALL PREFECT </t>
  </si>
  <si>
    <t xml:space="preserve">TIME </t>
  </si>
  <si>
    <t xml:space="preserve">DATE </t>
  </si>
  <si>
    <t xml:space="preserve">TOTAL VOTES </t>
  </si>
  <si>
    <t xml:space="preserve">TURNOUT </t>
  </si>
  <si>
    <t xml:space="preserve"> TOTAL NUMBER OF REGISTERED VOTERS </t>
  </si>
  <si>
    <t>Bugri Tilata</t>
  </si>
  <si>
    <t>ec</t>
  </si>
  <si>
    <t>jostech</t>
  </si>
  <si>
    <t>ecdeclare</t>
  </si>
  <si>
    <t>C:\JOSTECH_EVOTING_SYSTEM\HOUSES\NKRUMAH\candidates_images\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</si>
</sst>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h:mm\ AM/PM;@"/>
    <numFmt numFmtId="165" formatCode="[$-409]mmmm\ d\,\ yyyy;@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 Black"/>
      <family val="2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b/>
      <sz val="12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 Black"/>
      <family val="2"/>
    </font>
    <font>
      <b/>
      <sz val="8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1" fillId="18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3" fillId="3" borderId="6" xfId="0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10" fillId="0" borderId="7" xfId="0" applyFont="1" applyBorder="1" applyAlignment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10" fillId="0" borderId="14" xfId="0" applyFont="1" applyBorder="1" applyAlignment="1">
      <alignment vertical="center"/>
    </xf>
    <xf numFmtId="0" fontId="5" fillId="0" borderId="13" xfId="0" applyFont="1" applyFill="1" applyBorder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4" fillId="0" borderId="0" xfId="0" applyFont="1"/>
    <xf numFmtId="0" fontId="14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3" fillId="0" borderId="0" xfId="0" applyFont="1"/>
    <xf numFmtId="0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7" fillId="11" borderId="0" xfId="0" applyNumberFormat="1" applyFont="1" applyFill="1"/>
    <xf numFmtId="14" fontId="0" fillId="11" borderId="0" xfId="0" applyNumberFormat="1" applyFill="1"/>
    <xf numFmtId="1" fontId="17" fillId="0" borderId="0" xfId="0" applyNumberFormat="1" applyFont="1"/>
    <xf numFmtId="0" fontId="10" fillId="0" borderId="7" xfId="0" applyFont="1" applyFill="1" applyBorder="1" applyAlignment="1">
      <alignment vertical="center"/>
    </xf>
    <xf numFmtId="0" fontId="10" fillId="0" borderId="14" xfId="0" applyFont="1" applyFill="1" applyBorder="1" applyAlignment="1">
      <alignment vertical="center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>
      <alignment vertical="center"/>
    </xf>
    <xf numFmtId="0" fontId="5" fillId="0" borderId="0" xfId="0" applyFont="1" applyFill="1"/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5" fillId="0" borderId="0" xfId="0" applyFont="1" applyFill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7" fillId="0" borderId="21" xfId="0" applyNumberFormat="1" applyFont="1" applyBorder="1"/>
    <xf numFmtId="1" fontId="17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7" fillId="0" borderId="24" xfId="0" applyNumberFormat="1" applyFont="1" applyBorder="1"/>
    <xf numFmtId="0" fontId="0" fillId="0" borderId="25" xfId="0" applyBorder="1"/>
    <xf numFmtId="0" fontId="16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7" fillId="0" borderId="22" xfId="0" applyNumberFormat="1" applyFont="1" applyBorder="1"/>
    <xf numFmtId="14" fontId="0" fillId="0" borderId="22" xfId="0" applyNumberFormat="1" applyBorder="1"/>
    <xf numFmtId="0" fontId="16" fillId="12" borderId="28" xfId="0" applyFont="1" applyFill="1" applyBorder="1"/>
    <xf numFmtId="0" fontId="16" fillId="12" borderId="29" xfId="0" applyFont="1" applyFill="1" applyBorder="1"/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7" fillId="0" borderId="26" xfId="0" applyNumberFormat="1" applyFont="1" applyBorder="1" applyAlignment="1">
      <alignment horizontal="left" vertical="top" wrapText="1"/>
    </xf>
    <xf numFmtId="14" fontId="17" fillId="0" borderId="23" xfId="0" applyNumberFormat="1" applyFont="1" applyBorder="1" applyAlignment="1">
      <alignment horizontal="left" vertical="top" wrapText="1"/>
    </xf>
    <xf numFmtId="14" fontId="17" fillId="0" borderId="26" xfId="0" applyNumberFormat="1" applyFont="1" applyBorder="1" applyAlignment="1">
      <alignment vertical="top" wrapText="1"/>
    </xf>
    <xf numFmtId="14" fontId="17" fillId="0" borderId="23" xfId="0" applyNumberFormat="1" applyFont="1" applyBorder="1" applyAlignment="1">
      <alignment vertical="top" wrapText="1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3" fillId="14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1" fontId="22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4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9" fillId="0" borderId="6" xfId="0" applyFont="1" applyBorder="1"/>
    <xf numFmtId="0" fontId="30" fillId="0" borderId="6" xfId="0" applyFont="1" applyBorder="1"/>
    <xf numFmtId="0" fontId="31" fillId="0" borderId="6" xfId="0" applyFont="1" applyBorder="1" applyAlignment="1">
      <alignment horizontal="left"/>
    </xf>
    <xf numFmtId="0" fontId="31" fillId="0" borderId="6" xfId="0" applyFont="1" applyBorder="1"/>
    <xf numFmtId="0" fontId="30" fillId="0" borderId="6" xfId="0" applyFont="1" applyBorder="1" applyAlignment="1">
      <alignment wrapText="1"/>
    </xf>
    <xf numFmtId="0" fontId="0" fillId="0" borderId="6" xfId="0" applyFont="1" applyBorder="1"/>
    <xf numFmtId="0" fontId="32" fillId="0" borderId="6" xfId="0" applyFont="1" applyBorder="1"/>
    <xf numFmtId="0" fontId="31" fillId="0" borderId="6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 wrapText="1"/>
    </xf>
    <xf numFmtId="0" fontId="31" fillId="0" borderId="6" xfId="0" applyFont="1" applyBorder="1" applyAlignment="1">
      <alignment vertical="center"/>
    </xf>
    <xf numFmtId="0" fontId="32" fillId="0" borderId="6" xfId="0" applyFont="1" applyBorder="1" applyAlignment="1">
      <alignment vertical="top" wrapText="1"/>
    </xf>
    <xf numFmtId="0" fontId="31" fillId="0" borderId="6" xfId="0" applyFont="1" applyBorder="1" applyAlignment="1">
      <alignment vertical="top"/>
    </xf>
    <xf numFmtId="0" fontId="33" fillId="0" borderId="6" xfId="0" applyFont="1" applyBorder="1" applyAlignment="1">
      <alignment vertical="top"/>
    </xf>
    <xf numFmtId="0" fontId="31" fillId="0" borderId="6" xfId="0" applyFont="1" applyBorder="1" applyAlignment="1"/>
    <xf numFmtId="0" fontId="32" fillId="0" borderId="6" xfId="0" applyFont="1" applyFill="1" applyBorder="1" applyAlignment="1"/>
    <xf numFmtId="0" fontId="32" fillId="0" borderId="6" xfId="0" applyFont="1" applyBorder="1" applyAlignment="1"/>
    <xf numFmtId="0" fontId="32" fillId="0" borderId="6" xfId="0" applyFont="1" applyBorder="1" applyAlignment="1">
      <alignment horizontal="left" indent="2"/>
    </xf>
    <xf numFmtId="0" fontId="32" fillId="0" borderId="6" xfId="0" applyFont="1" applyBorder="1" applyAlignment="1">
      <alignment horizontal="left" vertical="top"/>
    </xf>
    <xf numFmtId="0" fontId="32" fillId="0" borderId="6" xfId="0" applyFont="1" applyBorder="1" applyAlignment="1">
      <alignment vertical="top"/>
    </xf>
    <xf numFmtId="0" fontId="32" fillId="0" borderId="6" xfId="0" applyFont="1" applyFill="1" applyBorder="1" applyAlignment="1">
      <alignment horizontal="left" vertical="top"/>
    </xf>
    <xf numFmtId="0" fontId="32" fillId="0" borderId="6" xfId="0" applyFont="1" applyBorder="1" applyAlignment="1">
      <alignment horizontal="left"/>
    </xf>
    <xf numFmtId="0" fontId="34" fillId="19" borderId="35" xfId="0" applyFont="1" applyFill="1" applyBorder="1" applyAlignment="1">
      <alignment horizontal="right" vertical="center"/>
    </xf>
    <xf numFmtId="0" fontId="34" fillId="19" borderId="36" xfId="0" applyFont="1" applyFill="1" applyBorder="1" applyAlignment="1">
      <alignment horizontal="right" vertical="center"/>
    </xf>
    <xf numFmtId="0" fontId="20" fillId="11" borderId="20" xfId="0" applyFont="1" applyFill="1" applyBorder="1" applyAlignment="1">
      <alignment horizontal="center" vertical="center"/>
    </xf>
    <xf numFmtId="0" fontId="20" fillId="11" borderId="17" xfId="0" applyFont="1" applyFill="1" applyBorder="1" applyAlignment="1">
      <alignment horizontal="center" vertical="center"/>
    </xf>
    <xf numFmtId="0" fontId="20" fillId="11" borderId="16" xfId="0" applyFont="1" applyFill="1" applyBorder="1" applyAlignment="1">
      <alignment horizontal="center" vertical="center" wrapText="1"/>
    </xf>
    <xf numFmtId="0" fontId="21" fillId="20" borderId="19" xfId="0" applyFont="1" applyFill="1" applyBorder="1" applyAlignment="1">
      <alignment horizontal="center" vertical="center"/>
    </xf>
    <xf numFmtId="0" fontId="21" fillId="20" borderId="18" xfId="0" applyFont="1" applyFill="1" applyBorder="1" applyAlignment="1">
      <alignment horizontal="center" vertical="center"/>
    </xf>
    <xf numFmtId="0" fontId="3" fillId="3" borderId="37" xfId="0" applyNumberFormat="1" applyFont="1" applyFill="1" applyBorder="1" applyAlignment="1">
      <alignment horizontal="center" vertical="center" wrapText="1"/>
    </xf>
    <xf numFmtId="0" fontId="16" fillId="5" borderId="38" xfId="0" applyFont="1" applyFill="1" applyBorder="1"/>
    <xf numFmtId="0" fontId="0" fillId="0" borderId="39" xfId="0" applyBorder="1"/>
    <xf numFmtId="0" fontId="0" fillId="0" borderId="40" xfId="0" applyBorder="1"/>
    <xf numFmtId="14" fontId="0" fillId="0" borderId="40" xfId="0" applyNumberFormat="1" applyBorder="1"/>
    <xf numFmtId="14" fontId="17" fillId="0" borderId="21" xfId="0" applyNumberFormat="1" applyFont="1" applyBorder="1" applyAlignment="1">
      <alignment horizontal="center"/>
    </xf>
    <xf numFmtId="0" fontId="16" fillId="21" borderId="0" xfId="0" applyFont="1" applyFill="1" applyBorder="1"/>
    <xf numFmtId="0" fontId="16" fillId="12" borderId="0" xfId="0" applyFont="1" applyFill="1" applyBorder="1"/>
    <xf numFmtId="0" fontId="35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36" fillId="0" borderId="6" xfId="3" applyBorder="1" applyAlignment="1">
      <alignment horizontal="left" indent="2"/>
    </xf>
    <xf numFmtId="0" fontId="0" fillId="22" borderId="0" xfId="0" applyFont="1" applyFill="1"/>
    <xf numFmtId="166" fontId="19" fillId="20" borderId="11" xfId="1" applyNumberFormat="1" applyFont="1" applyFill="1" applyBorder="1" applyAlignment="1">
      <alignment horizontal="center" vertical="center"/>
    </xf>
    <xf numFmtId="0" fontId="0" fillId="0" borderId="0" xfId="0"/>
    <xf numFmtId="0" fontId="37" fillId="3" borderId="6" xfId="0" applyFont="1" applyFill="1" applyBorder="1" applyAlignment="1">
      <alignment horizontal="center" vertical="center" wrapText="1"/>
    </xf>
    <xf numFmtId="19" fontId="37" fillId="3" borderId="6" xfId="0" applyNumberFormat="1" applyFont="1" applyFill="1" applyBorder="1" applyAlignment="1">
      <alignment horizontal="center" vertical="center" wrapText="1"/>
    </xf>
    <xf numFmtId="165" fontId="38" fillId="3" borderId="6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wrapText="1"/>
    </xf>
    <xf numFmtId="0" fontId="14" fillId="0" borderId="0" xfId="0" applyFont="1"/>
    <xf numFmtId="0" fontId="25" fillId="0" borderId="0" xfId="0" applyFont="1" applyAlignment="1">
      <alignment horizontal="center"/>
    </xf>
    <xf numFmtId="0" fontId="28" fillId="0" borderId="32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1" fontId="26" fillId="11" borderId="34" xfId="0" applyNumberFormat="1" applyFont="1" applyFill="1" applyBorder="1" applyAlignment="1">
      <alignment horizontal="left" vertical="center"/>
    </xf>
    <xf numFmtId="1" fontId="26" fillId="11" borderId="0" xfId="0" applyNumberFormat="1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4">
    <cellStyle name="Accent5" xfId="2" builtinId="45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fif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1114425</xdr:colOff>
      <xdr:row>10</xdr:row>
      <xdr:rowOff>133349</xdr:rowOff>
    </xdr:from>
    <xdr:to>
      <xdr:col>10</xdr:col>
      <xdr:colOff>1695450</xdr:colOff>
      <xdr:row>13</xdr:row>
      <xdr:rowOff>371475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2038349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>
              <a:solidFill>
                <a:schemeClr val="bg1"/>
              </a:solidFill>
              <a:latin typeface="Bernard MT Condensed" panose="02050806060905020404" pitchFamily="18" charset="0"/>
            </a:rPr>
            <a:t>-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319486</xdr:colOff>
      <xdr:row>0</xdr:row>
      <xdr:rowOff>76200</xdr:rowOff>
    </xdr:from>
    <xdr:to>
      <xdr:col>3</xdr:col>
      <xdr:colOff>863654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2" y="76200"/>
          <a:ext cx="544168" cy="5786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L57" sqref="L57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61"/>
      <c r="B1" s="61"/>
      <c r="C1" s="61"/>
      <c r="D1" s="61"/>
      <c r="E1" s="61"/>
      <c r="F1" s="61"/>
      <c r="G1" s="61"/>
      <c r="H1" s="61"/>
      <c r="I1" s="61" t="s">
        <v>60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</row>
    <row r="2" spans="1:24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24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24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</row>
    <row r="5" spans="1:24" x14ac:dyDescent="0.25">
      <c r="A5" s="61"/>
      <c r="B5" s="61"/>
      <c r="C5" s="61"/>
      <c r="D5" s="61"/>
      <c r="E5" s="62" t="str">
        <f ca="1">MID(CELL("filename",B2),FIND("]",CELL("filename",B2))+1,256)&amp;"  Worksheet"</f>
        <v>Interface  Worksheet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</row>
    <row r="6" spans="1:24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</row>
    <row r="7" spans="1:24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</row>
    <row r="8" spans="1:24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 t="s">
        <v>31</v>
      </c>
      <c r="M8" s="61"/>
      <c r="N8" s="61"/>
      <c r="O8" s="61"/>
      <c r="P8" s="61"/>
      <c r="Q8" s="61"/>
      <c r="R8" s="61"/>
      <c r="S8" s="61"/>
      <c r="T8" s="61"/>
      <c r="U8" s="61"/>
      <c r="V8" s="61"/>
    </row>
    <row r="9" spans="1:24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 t="s">
        <v>31</v>
      </c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</row>
    <row r="10" spans="1:24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</row>
    <row r="11" spans="1:24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</row>
    <row r="12" spans="1:24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</row>
    <row r="13" spans="1:24" ht="60" customHeight="1" x14ac:dyDescent="0.25">
      <c r="A13" s="61"/>
      <c r="B13" s="61"/>
      <c r="C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</row>
    <row r="14" spans="1:24" ht="54.75" customHeight="1" thickBot="1" x14ac:dyDescent="0.3">
      <c r="A14" s="61"/>
      <c r="B14" s="61"/>
      <c r="C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 ht="57" thickBot="1" x14ac:dyDescent="0.3">
      <c r="A15" s="61"/>
      <c r="B15" s="63"/>
      <c r="C15" s="63"/>
      <c r="D15" s="64"/>
      <c r="E15" s="65"/>
      <c r="F15" s="65"/>
      <c r="G15" s="63"/>
      <c r="H15" s="63"/>
      <c r="I15" s="63"/>
      <c r="J15" s="131" t="s">
        <v>79</v>
      </c>
      <c r="K15" s="129" t="s">
        <v>77</v>
      </c>
      <c r="L15" s="130" t="s">
        <v>78</v>
      </c>
      <c r="M15" s="61"/>
      <c r="N15" s="61" t="s">
        <v>31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 ht="37.5" thickBot="1" x14ac:dyDescent="0.3">
      <c r="A16" s="61"/>
      <c r="B16" s="63"/>
      <c r="C16" s="63"/>
      <c r="D16" s="64"/>
      <c r="E16" s="65"/>
      <c r="F16" s="65"/>
      <c r="G16" s="63"/>
      <c r="H16" s="61"/>
      <c r="I16" s="61"/>
      <c r="J16" s="132">
        <f>COUNTA('Voter''s Name'!E:E)-1</f>
        <v>1</v>
      </c>
      <c r="K16" s="133">
        <f>COUNTA('Tally of Votes'!C:C)-1</f>
        <v>0</v>
      </c>
      <c r="L16" s="151">
        <f>IF(K16="","",K16/J16)</f>
        <v>0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</row>
    <row r="17" spans="1:22" ht="23.25" x14ac:dyDescent="0.25">
      <c r="A17" s="61"/>
      <c r="B17" s="63"/>
      <c r="C17" s="63"/>
      <c r="D17" s="64"/>
      <c r="E17" s="65"/>
      <c r="F17" s="65"/>
      <c r="G17" s="63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</row>
    <row r="18" spans="1:22" ht="23.25" x14ac:dyDescent="0.25">
      <c r="A18" s="61"/>
      <c r="B18" s="63"/>
      <c r="C18" s="63"/>
      <c r="D18" s="66"/>
      <c r="E18" s="65"/>
      <c r="F18" s="65"/>
      <c r="G18" s="63"/>
      <c r="H18" s="61"/>
      <c r="I18" s="61"/>
      <c r="J18" s="61"/>
      <c r="K18" s="61"/>
      <c r="L18" s="61"/>
      <c r="M18" s="61"/>
      <c r="N18" s="61"/>
      <c r="O18" s="61" t="s">
        <v>31</v>
      </c>
      <c r="P18" s="61"/>
      <c r="Q18" s="61"/>
      <c r="R18" s="61"/>
      <c r="S18" s="61"/>
      <c r="T18" s="61"/>
      <c r="U18" s="61"/>
      <c r="V18" s="61"/>
    </row>
    <row r="19" spans="1:22" ht="23.25" x14ac:dyDescent="0.25">
      <c r="A19" s="61"/>
      <c r="B19" s="63"/>
      <c r="C19" s="63"/>
      <c r="D19" s="66"/>
      <c r="E19" s="65"/>
      <c r="F19" s="65"/>
      <c r="G19" s="63"/>
      <c r="H19" s="61"/>
      <c r="I19" s="61"/>
      <c r="J19" s="61"/>
      <c r="K19" s="61" t="s">
        <v>60</v>
      </c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</row>
    <row r="20" spans="1:22" x14ac:dyDescent="0.25">
      <c r="A20" s="61"/>
      <c r="B20" s="63"/>
      <c r="C20" s="63"/>
      <c r="D20" s="63"/>
      <c r="E20" s="63"/>
      <c r="F20" s="63"/>
      <c r="G20" s="63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</row>
    <row r="21" spans="1:22" ht="23.25" customHeight="1" x14ac:dyDescent="0.25">
      <c r="A21" s="61"/>
      <c r="B21" s="61"/>
      <c r="C21" s="61"/>
      <c r="D21" s="67"/>
      <c r="E21" s="68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2" ht="19.5" x14ac:dyDescent="0.25">
      <c r="A22" s="61"/>
      <c r="B22" s="61"/>
      <c r="C22" s="61"/>
      <c r="D22" s="67"/>
      <c r="E22" s="68"/>
      <c r="F22" s="61"/>
      <c r="G22" s="61"/>
      <c r="H22" s="14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2" ht="19.5" x14ac:dyDescent="0.25">
      <c r="A23" s="61"/>
      <c r="B23" s="61"/>
      <c r="C23" s="61"/>
      <c r="D23" s="67"/>
      <c r="E23" s="68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2" ht="24.95" customHeight="1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2" ht="24.95" customHeight="1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2" ht="24.95" customHeight="1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2" ht="24.95" customHeight="1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2" ht="24.95" customHeight="1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2" ht="24.95" customHeight="1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2" ht="24.9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2" ht="24.95" hidden="1" customHeight="1" x14ac:dyDescent="0.25">
      <c r="A31" s="7"/>
      <c r="B31" s="7"/>
      <c r="C31" s="7"/>
      <c r="D31" s="16"/>
      <c r="E31" s="17"/>
      <c r="F31" s="17"/>
      <c r="G31" s="16"/>
      <c r="H31" s="61"/>
      <c r="I31" s="61"/>
      <c r="J31" s="61"/>
      <c r="K31" s="61"/>
      <c r="L31" s="61"/>
      <c r="M31" s="16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6"/>
      <c r="E32" s="17"/>
      <c r="F32" s="17"/>
      <c r="G32" s="16"/>
      <c r="H32" s="16"/>
      <c r="I32" s="16"/>
      <c r="J32" s="61"/>
      <c r="K32" s="16"/>
      <c r="L32" s="16"/>
      <c r="M32" s="16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6"/>
      <c r="E33" s="17"/>
      <c r="F33" s="17"/>
      <c r="G33" s="16"/>
      <c r="H33" s="18"/>
      <c r="I33" s="18"/>
      <c r="J33" s="16"/>
      <c r="K33" s="18"/>
      <c r="L33" s="18"/>
      <c r="M33" s="16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6"/>
      <c r="E34" s="16"/>
      <c r="F34" s="16"/>
      <c r="G34" s="16"/>
      <c r="H34" s="17"/>
      <c r="I34" s="17"/>
      <c r="J34" s="18"/>
      <c r="K34" s="17"/>
      <c r="L34" s="17"/>
      <c r="M34" s="16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6"/>
      <c r="E35" s="16"/>
      <c r="F35" s="16"/>
      <c r="G35" s="16"/>
      <c r="H35" s="16"/>
      <c r="I35" s="16"/>
      <c r="J35" s="17"/>
      <c r="K35" s="16"/>
      <c r="L35" s="16"/>
      <c r="M35" s="16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6"/>
      <c r="I42" s="16"/>
      <c r="J42" s="16"/>
      <c r="K42" s="16"/>
      <c r="L42" s="16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6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RfQIVV493AqefIJZBrfZCNWuKdqSchBV1hocv169OHGFTIamvGrQU2myitzXHJYJixCi4cy4Mjmi5O55gyUatQ==" saltValue="DHLW7vHkNXOXCrOiNm8o2g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abSelected="1" topLeftCell="A8" zoomScaleNormal="100" workbookViewId="0">
      <selection activeCell="M8" sqref="M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14" x14ac:dyDescent="0.25"/>
    <row r="2" spans="6:14" x14ac:dyDescent="0.25"/>
    <row r="3" spans="6:14" x14ac:dyDescent="0.25"/>
    <row r="4" spans="6:14" x14ac:dyDescent="0.25">
      <c r="F4" s="150" t="str">
        <f ca="1">MID(CELL("filename",B2),FIND("]",CELL("filename",B2))+1,256)&amp;"  Worksheet"</f>
        <v>Admin  Worksheet</v>
      </c>
      <c r="N4" t="s">
        <v>31</v>
      </c>
    </row>
    <row r="5" spans="6:14" x14ac:dyDescent="0.25"/>
    <row r="6" spans="6:14" x14ac:dyDescent="0.25"/>
    <row r="7" spans="6:14" x14ac:dyDescent="0.25"/>
    <row r="8" spans="6:14" x14ac:dyDescent="0.25"/>
    <row r="9" spans="6:14" x14ac:dyDescent="0.25"/>
    <row r="10" spans="6:14" x14ac:dyDescent="0.25"/>
    <row r="11" spans="6:14" x14ac:dyDescent="0.25"/>
    <row r="12" spans="6:14" x14ac:dyDescent="0.25"/>
    <row r="13" spans="6:14" x14ac:dyDescent="0.25"/>
    <row r="14" spans="6:14" x14ac:dyDescent="0.25"/>
    <row r="15" spans="6:14" x14ac:dyDescent="0.25"/>
    <row r="16" spans="6:1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LteOGdzSMMuJr6/O8S99QdJta+grP/n1kVzrFnp8IqCRp2E5Dln0p8OcmsilTkHEAyeN9QD0CJa1eTGW5Jdyuw==" saltValue="6QD2pf2kWNurptdAyFqMj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C2" sqref="C2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6"/>
      <c r="D5" s="103" t="s">
        <v>30</v>
      </c>
    </row>
    <row r="6" spans="3:4" s="31" customFormat="1" ht="15" customHeight="1" x14ac:dyDescent="0.5">
      <c r="C6" s="86"/>
      <c r="D6" s="87"/>
    </row>
    <row r="7" spans="3:4" s="31" customFormat="1" ht="34.5" customHeight="1" x14ac:dyDescent="0.5">
      <c r="C7" s="86"/>
      <c r="D7" s="103" t="s">
        <v>73</v>
      </c>
    </row>
    <row r="8" spans="3:4" s="31" customFormat="1" ht="34.5" customHeight="1" x14ac:dyDescent="0.5">
      <c r="C8" s="86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B7" workbookViewId="0">
      <selection activeCell="O15" sqref="O15"/>
    </sheetView>
  </sheetViews>
  <sheetFormatPr defaultColWidth="0" defaultRowHeight="15" x14ac:dyDescent="0.25"/>
  <cols>
    <col min="1" max="1" width="3.85546875" style="31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2:20" hidden="1" x14ac:dyDescent="0.25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2:20" hidden="1" x14ac:dyDescent="0.25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</row>
    <row r="4" spans="2:20" hidden="1" x14ac:dyDescent="0.25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</row>
    <row r="5" spans="2:20" hidden="1" x14ac:dyDescent="0.25">
      <c r="B5" s="156"/>
      <c r="C5" s="157"/>
      <c r="D5" s="32"/>
      <c r="E5" s="32"/>
      <c r="F5" s="40" t="str">
        <f ca="1">MID(CELL("filename",B2),FIND("]",CELL("filename",B2))+1,256)&amp;"  Worksheet"</f>
        <v>Login Data  Worksheet</v>
      </c>
      <c r="G5" s="156"/>
      <c r="H5" s="157"/>
      <c r="I5" s="157"/>
      <c r="J5" s="157"/>
      <c r="K5" s="157"/>
      <c r="L5" s="32"/>
      <c r="M5" s="32"/>
      <c r="N5" s="32"/>
      <c r="O5" s="33"/>
      <c r="P5" s="32"/>
      <c r="Q5" s="33"/>
      <c r="R5" s="31"/>
      <c r="S5" s="156"/>
      <c r="T5" s="156"/>
    </row>
    <row r="6" spans="2:20" hidden="1" x14ac:dyDescent="0.25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96" t="s">
        <v>5</v>
      </c>
      <c r="C7" s="96" t="s">
        <v>4</v>
      </c>
      <c r="D7" s="31"/>
      <c r="E7" s="31"/>
      <c r="F7" s="31"/>
      <c r="G7" s="97" t="s">
        <v>6</v>
      </c>
      <c r="H7" s="97" t="s">
        <v>7</v>
      </c>
      <c r="I7" s="97" t="s">
        <v>8</v>
      </c>
      <c r="J7" s="97" t="s">
        <v>8</v>
      </c>
      <c r="K7" s="97" t="s">
        <v>8</v>
      </c>
      <c r="L7" s="31"/>
      <c r="M7" s="31"/>
      <c r="N7" s="31"/>
      <c r="O7" s="98" t="s">
        <v>9</v>
      </c>
      <c r="P7" s="1"/>
      <c r="Q7" s="99" t="s">
        <v>10</v>
      </c>
      <c r="R7" s="1"/>
      <c r="S7" s="100" t="s">
        <v>6</v>
      </c>
      <c r="T7" s="100" t="s">
        <v>7</v>
      </c>
    </row>
    <row r="8" spans="2:20" x14ac:dyDescent="0.25">
      <c r="B8" s="34" t="s">
        <v>14</v>
      </c>
      <c r="C8" s="35">
        <v>43872.89947916667</v>
      </c>
      <c r="D8" s="31"/>
      <c r="E8" s="31"/>
      <c r="F8" s="31"/>
      <c r="G8" s="36" t="s">
        <v>83</v>
      </c>
      <c r="H8" s="36">
        <v>123</v>
      </c>
      <c r="I8" s="37" t="s">
        <v>11</v>
      </c>
      <c r="J8" s="37" t="s">
        <v>29</v>
      </c>
      <c r="K8" s="37" t="s">
        <v>28</v>
      </c>
      <c r="L8" s="31"/>
      <c r="M8" s="31"/>
      <c r="N8" s="31"/>
      <c r="O8" s="38" t="s">
        <v>82</v>
      </c>
      <c r="P8" s="31"/>
      <c r="Q8" s="39" t="s">
        <v>11</v>
      </c>
      <c r="R8" s="31"/>
      <c r="S8" s="36" t="s">
        <v>14</v>
      </c>
      <c r="T8" s="36">
        <v>73691</v>
      </c>
    </row>
    <row r="9" spans="2:20" ht="15.75" thickBot="1" x14ac:dyDescent="0.3">
      <c r="B9" s="34" t="s">
        <v>14</v>
      </c>
      <c r="C9" s="35">
        <v>43873.951145833336</v>
      </c>
      <c r="D9" s="31"/>
      <c r="E9" s="31"/>
      <c r="F9" s="31"/>
      <c r="G9" s="36" t="s">
        <v>81</v>
      </c>
      <c r="H9" s="36">
        <v>275</v>
      </c>
      <c r="I9" s="37" t="s">
        <v>28</v>
      </c>
      <c r="J9" s="37" t="s">
        <v>29</v>
      </c>
      <c r="K9" s="37"/>
      <c r="L9" s="31"/>
      <c r="M9" s="31"/>
      <c r="N9" s="31"/>
      <c r="O9" s="31"/>
      <c r="P9" s="31"/>
      <c r="Q9" s="39" t="s">
        <v>12</v>
      </c>
      <c r="R9" s="31"/>
      <c r="S9" s="36" t="s">
        <v>82</v>
      </c>
      <c r="T9" s="36">
        <v>1982</v>
      </c>
    </row>
    <row r="10" spans="2:20" ht="15.75" thickBot="1" x14ac:dyDescent="0.3">
      <c r="B10" s="34" t="s">
        <v>25</v>
      </c>
      <c r="C10" s="35">
        <v>43873.953541666669</v>
      </c>
      <c r="D10" s="31"/>
      <c r="E10" s="31"/>
      <c r="F10" s="31"/>
      <c r="G10" s="36"/>
      <c r="H10" s="127">
        <v>3055</v>
      </c>
      <c r="I10" s="37"/>
      <c r="J10" s="37"/>
      <c r="K10" s="37"/>
      <c r="L10" s="31"/>
      <c r="M10" s="31"/>
      <c r="N10" s="31"/>
      <c r="O10" s="31"/>
      <c r="P10" s="31"/>
      <c r="Q10" s="39" t="s">
        <v>29</v>
      </c>
      <c r="R10" s="31"/>
      <c r="S10" s="36"/>
      <c r="T10" s="36"/>
    </row>
    <row r="11" spans="2:20" ht="15.75" thickBot="1" x14ac:dyDescent="0.3">
      <c r="B11" s="34" t="s">
        <v>14</v>
      </c>
      <c r="C11" s="35">
        <v>44482.428807870368</v>
      </c>
      <c r="D11" s="31"/>
      <c r="E11" s="31"/>
      <c r="F11" s="31"/>
      <c r="G11" s="36"/>
      <c r="H11" s="128">
        <v>7341</v>
      </c>
      <c r="I11" s="37"/>
      <c r="J11" s="37"/>
      <c r="K11" s="37"/>
      <c r="L11" s="31"/>
      <c r="M11" s="31"/>
      <c r="N11" s="31"/>
      <c r="O11" s="31"/>
      <c r="P11" s="31"/>
      <c r="Q11" s="39" t="s">
        <v>13</v>
      </c>
      <c r="R11" s="31"/>
      <c r="S11" s="36"/>
      <c r="T11" s="36"/>
    </row>
    <row r="12" spans="2:20" ht="15.75" thickBot="1" x14ac:dyDescent="0.3">
      <c r="B12" s="34" t="s">
        <v>25</v>
      </c>
      <c r="C12" s="35">
        <v>44482.437592592592</v>
      </c>
      <c r="D12" s="31"/>
      <c r="E12" s="31"/>
      <c r="F12" s="31"/>
      <c r="G12" s="36"/>
      <c r="H12" s="128">
        <v>2226</v>
      </c>
      <c r="I12" s="37"/>
      <c r="J12" s="37"/>
      <c r="K12" s="37"/>
      <c r="L12" s="31"/>
      <c r="M12" s="31"/>
      <c r="N12" s="31"/>
      <c r="O12" s="31"/>
      <c r="P12" s="31"/>
      <c r="Q12" s="39" t="s">
        <v>19</v>
      </c>
      <c r="R12" s="31"/>
      <c r="S12" s="36"/>
      <c r="T12" s="36"/>
    </row>
    <row r="13" spans="2:20" ht="15.75" thickBot="1" x14ac:dyDescent="0.3">
      <c r="B13" s="34" t="s">
        <v>14</v>
      </c>
      <c r="C13" s="35">
        <v>44483.437939814816</v>
      </c>
      <c r="D13" s="31"/>
      <c r="E13" s="31"/>
      <c r="F13" s="31"/>
      <c r="G13" s="36"/>
      <c r="H13" s="128">
        <v>8924</v>
      </c>
      <c r="I13" s="37"/>
      <c r="J13" s="37"/>
      <c r="K13" s="37"/>
      <c r="L13" s="31"/>
      <c r="M13" s="31"/>
      <c r="N13" s="31"/>
      <c r="O13" s="31"/>
      <c r="P13" s="31"/>
      <c r="Q13" s="39" t="s">
        <v>28</v>
      </c>
      <c r="R13" s="31"/>
      <c r="S13" s="36"/>
      <c r="T13" s="36"/>
    </row>
    <row r="14" spans="2:20" ht="15.75" thickBot="1" x14ac:dyDescent="0.3">
      <c r="B14" s="34" t="s">
        <v>14</v>
      </c>
      <c r="C14" s="35">
        <v>44483.485474537039</v>
      </c>
      <c r="D14" s="31"/>
      <c r="E14" s="31"/>
      <c r="F14" s="31"/>
      <c r="G14" s="36"/>
      <c r="H14" s="128">
        <v>3583</v>
      </c>
      <c r="I14" s="37"/>
      <c r="J14" s="37"/>
      <c r="K14" s="37"/>
      <c r="L14" s="31"/>
      <c r="M14" s="31"/>
      <c r="N14" s="31"/>
      <c r="O14" s="31"/>
      <c r="P14" s="31"/>
      <c r="Q14" s="39" t="s">
        <v>24</v>
      </c>
      <c r="R14" s="31"/>
      <c r="S14" s="36"/>
      <c r="T14" s="36"/>
    </row>
    <row r="15" spans="2:20" ht="15.75" thickBot="1" x14ac:dyDescent="0.3">
      <c r="B15" s="34" t="s">
        <v>14</v>
      </c>
      <c r="C15" s="35">
        <v>44484.393067129633</v>
      </c>
      <c r="D15" s="31"/>
      <c r="E15" s="31"/>
      <c r="F15" s="31"/>
      <c r="G15" s="36"/>
      <c r="H15" s="128">
        <v>1964</v>
      </c>
      <c r="I15" s="37"/>
      <c r="J15" s="37"/>
      <c r="K15" s="37"/>
      <c r="L15" s="31"/>
      <c r="M15" s="31"/>
      <c r="N15" s="31"/>
      <c r="O15" s="31"/>
      <c r="P15" s="31"/>
      <c r="Q15" s="39" t="s">
        <v>26</v>
      </c>
      <c r="R15" s="31"/>
      <c r="S15" s="36"/>
      <c r="T15" s="36"/>
    </row>
    <row r="16" spans="2:20" ht="15.75" thickBot="1" x14ac:dyDescent="0.3">
      <c r="B16" s="34" t="s">
        <v>14</v>
      </c>
      <c r="C16" s="35">
        <v>44484.393993055557</v>
      </c>
      <c r="D16" s="31"/>
      <c r="E16" s="31"/>
      <c r="F16" s="31"/>
      <c r="G16" s="36"/>
      <c r="H16" s="128">
        <v>6465</v>
      </c>
      <c r="I16" s="37"/>
      <c r="J16" s="37"/>
      <c r="K16" s="37"/>
      <c r="L16" s="31"/>
      <c r="M16" s="31"/>
      <c r="N16" s="31"/>
      <c r="O16" s="31"/>
      <c r="P16" s="31"/>
      <c r="Q16" s="39" t="s">
        <v>26</v>
      </c>
      <c r="R16" s="31"/>
      <c r="S16" s="36"/>
      <c r="T16" s="36"/>
    </row>
    <row r="17" spans="2:20" ht="15.75" thickBot="1" x14ac:dyDescent="0.3">
      <c r="B17" s="34" t="s">
        <v>14</v>
      </c>
      <c r="C17" s="35">
        <v>44484.400717592594</v>
      </c>
      <c r="D17" s="31"/>
      <c r="E17" s="31"/>
      <c r="F17" s="31"/>
      <c r="G17" s="36"/>
      <c r="H17" s="128">
        <v>1338</v>
      </c>
      <c r="I17" s="37"/>
      <c r="J17" s="37"/>
      <c r="K17" s="37"/>
      <c r="L17" s="31"/>
      <c r="M17" s="31"/>
      <c r="N17" s="31"/>
      <c r="O17" s="31"/>
      <c r="P17" s="31"/>
      <c r="Q17" s="39" t="s">
        <v>28</v>
      </c>
      <c r="R17" s="31"/>
      <c r="S17" s="36"/>
      <c r="T17" s="36"/>
    </row>
    <row r="18" spans="2:20" ht="15.75" thickBot="1" x14ac:dyDescent="0.3">
      <c r="B18" s="34" t="s">
        <v>14</v>
      </c>
      <c r="C18" s="35">
        <v>44484.812291666669</v>
      </c>
      <c r="D18" s="31"/>
      <c r="E18" s="31"/>
      <c r="F18" s="31"/>
      <c r="G18" s="36"/>
      <c r="H18" s="128">
        <v>8952</v>
      </c>
      <c r="I18" s="37"/>
      <c r="J18" s="37"/>
      <c r="K18" s="37"/>
      <c r="L18" s="31"/>
      <c r="M18" s="31"/>
      <c r="N18" s="31"/>
      <c r="O18" s="31"/>
      <c r="P18" s="31"/>
      <c r="Q18" s="39"/>
      <c r="R18" s="31"/>
      <c r="S18" s="36"/>
      <c r="T18" s="36"/>
    </row>
    <row r="19" spans="2:20" ht="15.75" thickBot="1" x14ac:dyDescent="0.3">
      <c r="B19" s="34" t="s">
        <v>14</v>
      </c>
      <c r="C19" s="35">
        <v>44485.330428240741</v>
      </c>
      <c r="D19" s="31"/>
      <c r="E19" s="31"/>
      <c r="F19" s="31"/>
      <c r="G19" s="36"/>
      <c r="H19" s="128">
        <v>2893</v>
      </c>
      <c r="I19" s="37"/>
      <c r="J19" s="37"/>
      <c r="K19" s="37"/>
      <c r="L19" s="31"/>
      <c r="M19" s="31"/>
      <c r="N19" s="31"/>
      <c r="O19" s="31"/>
      <c r="P19" s="31"/>
      <c r="Q19" s="39"/>
      <c r="R19" s="31"/>
      <c r="S19" s="36"/>
      <c r="T19" s="36"/>
    </row>
    <row r="20" spans="2:20" ht="15.75" thickBot="1" x14ac:dyDescent="0.3">
      <c r="B20" s="34" t="s">
        <v>14</v>
      </c>
      <c r="C20" s="35">
        <v>44485.414305555554</v>
      </c>
      <c r="D20" s="31"/>
      <c r="E20" s="31"/>
      <c r="F20" s="31"/>
      <c r="G20" s="36"/>
      <c r="H20" s="128">
        <v>6215</v>
      </c>
      <c r="I20" s="37"/>
      <c r="J20" s="37"/>
      <c r="K20" s="37"/>
      <c r="L20" s="31"/>
      <c r="M20" s="31"/>
      <c r="N20" s="31"/>
      <c r="O20" s="31"/>
      <c r="P20" s="31"/>
      <c r="Q20" s="39"/>
      <c r="R20" s="31"/>
      <c r="S20" s="36"/>
      <c r="T20" s="36"/>
    </row>
    <row r="21" spans="2:20" ht="15.75" thickBot="1" x14ac:dyDescent="0.3">
      <c r="B21" s="34" t="s">
        <v>14</v>
      </c>
      <c r="C21" s="35">
        <v>44485.658252314817</v>
      </c>
      <c r="D21" s="31"/>
      <c r="E21" s="31"/>
      <c r="F21" s="31"/>
      <c r="G21" s="36"/>
      <c r="H21" s="128">
        <v>4744</v>
      </c>
      <c r="I21" s="37"/>
      <c r="J21" s="37"/>
      <c r="K21" s="37"/>
      <c r="L21" s="31"/>
      <c r="M21" s="31"/>
      <c r="N21" s="31"/>
      <c r="O21" s="31"/>
      <c r="P21" s="31"/>
      <c r="Q21" s="39"/>
      <c r="R21" s="31"/>
      <c r="S21" s="36"/>
      <c r="T21" s="36"/>
    </row>
    <row r="22" spans="2:20" ht="15.75" thickBot="1" x14ac:dyDescent="0.3">
      <c r="B22" s="34" t="s">
        <v>14</v>
      </c>
      <c r="C22" s="35">
        <v>44485.736678240741</v>
      </c>
      <c r="D22" s="31"/>
      <c r="E22" s="31"/>
      <c r="F22" s="31"/>
      <c r="G22" s="36"/>
      <c r="H22" s="128">
        <v>5271</v>
      </c>
      <c r="I22" s="37"/>
      <c r="J22" s="37"/>
      <c r="K22" s="37"/>
      <c r="L22" s="31"/>
      <c r="M22" s="31"/>
      <c r="N22" s="31"/>
      <c r="O22" s="31"/>
      <c r="P22" s="31"/>
      <c r="Q22" s="39"/>
      <c r="R22" s="31"/>
      <c r="S22" s="36"/>
      <c r="T22" s="36"/>
    </row>
    <row r="23" spans="2:20" ht="15.75" thickBot="1" x14ac:dyDescent="0.3">
      <c r="B23" s="34" t="s">
        <v>14</v>
      </c>
      <c r="C23" s="35">
        <v>44485.752395833333</v>
      </c>
      <c r="D23" s="31"/>
      <c r="E23" s="31"/>
      <c r="F23" s="31"/>
      <c r="G23" s="36"/>
      <c r="H23" s="128">
        <v>2550</v>
      </c>
      <c r="I23" s="37"/>
      <c r="J23" s="37"/>
      <c r="K23" s="37"/>
      <c r="L23" s="31"/>
      <c r="M23" s="31"/>
      <c r="N23" s="31"/>
      <c r="O23" s="31"/>
      <c r="P23" s="31"/>
      <c r="Q23" s="39"/>
      <c r="R23" s="31"/>
      <c r="S23" s="36"/>
      <c r="T23" s="36"/>
    </row>
    <row r="24" spans="2:20" ht="15.75" thickBot="1" x14ac:dyDescent="0.3">
      <c r="B24" s="34" t="s">
        <v>25</v>
      </c>
      <c r="C24" s="35">
        <v>44485.753263888888</v>
      </c>
      <c r="D24" s="31"/>
      <c r="E24" s="31"/>
      <c r="F24" s="31"/>
      <c r="G24" s="36"/>
      <c r="H24" s="128">
        <v>6837</v>
      </c>
      <c r="I24" s="37"/>
      <c r="J24" s="37"/>
      <c r="K24" s="37"/>
      <c r="L24" s="31"/>
      <c r="M24" s="31"/>
      <c r="N24" s="31"/>
      <c r="O24" s="31"/>
      <c r="P24" s="31"/>
      <c r="Q24" s="39"/>
      <c r="R24" s="31"/>
      <c r="S24" s="36"/>
      <c r="T24" s="36"/>
    </row>
    <row r="25" spans="2:20" ht="15.75" thickBot="1" x14ac:dyDescent="0.3">
      <c r="B25" s="34" t="s">
        <v>14</v>
      </c>
      <c r="C25" s="35">
        <v>44485.759236111109</v>
      </c>
      <c r="D25" s="31"/>
      <c r="E25" s="31"/>
      <c r="F25" s="31"/>
      <c r="G25" s="36"/>
      <c r="H25" s="128">
        <v>5138</v>
      </c>
      <c r="I25" s="37"/>
      <c r="J25" s="37"/>
      <c r="K25" s="37"/>
      <c r="L25" s="31"/>
      <c r="M25" s="31"/>
      <c r="N25" s="31"/>
      <c r="O25" s="31"/>
      <c r="P25" s="31"/>
      <c r="Q25" s="39"/>
      <c r="R25" s="31"/>
      <c r="S25" s="36"/>
      <c r="T25" s="36"/>
    </row>
    <row r="26" spans="2:20" ht="15.75" thickBot="1" x14ac:dyDescent="0.3">
      <c r="B26" s="34" t="s">
        <v>25</v>
      </c>
      <c r="C26" s="35">
        <v>44485.792071759257</v>
      </c>
      <c r="D26" s="31"/>
      <c r="E26" s="31"/>
      <c r="F26" s="31"/>
      <c r="G26" s="36"/>
      <c r="H26" s="128">
        <v>1845</v>
      </c>
      <c r="I26" s="37"/>
      <c r="J26" s="37"/>
      <c r="K26" s="37"/>
      <c r="L26" s="31"/>
      <c r="M26" s="31"/>
      <c r="N26" s="31"/>
      <c r="O26" s="31"/>
      <c r="P26" s="31"/>
      <c r="Q26" s="39"/>
      <c r="R26" s="31"/>
      <c r="S26" s="36"/>
      <c r="T26" s="36"/>
    </row>
    <row r="27" spans="2:20" ht="15.75" thickBot="1" x14ac:dyDescent="0.3">
      <c r="B27" s="34" t="s">
        <v>14</v>
      </c>
      <c r="C27" s="35">
        <v>44486.109849537039</v>
      </c>
      <c r="D27" s="31"/>
      <c r="E27" s="31"/>
      <c r="F27" s="31"/>
      <c r="G27" s="36"/>
      <c r="H27" s="128">
        <v>4765</v>
      </c>
      <c r="I27" s="37"/>
      <c r="J27" s="37"/>
      <c r="K27" s="37"/>
      <c r="L27" s="31"/>
      <c r="M27" s="31"/>
      <c r="N27" s="31"/>
      <c r="O27" s="31"/>
      <c r="P27" s="31"/>
      <c r="Q27" s="39"/>
      <c r="R27" s="31"/>
      <c r="S27" s="36"/>
      <c r="T27" s="36"/>
    </row>
    <row r="28" spans="2:20" ht="15.75" thickBot="1" x14ac:dyDescent="0.3">
      <c r="B28" s="34" t="s">
        <v>59</v>
      </c>
      <c r="C28" s="35">
        <v>44486.111157407409</v>
      </c>
      <c r="D28" s="31"/>
      <c r="E28" s="31"/>
      <c r="F28" s="31"/>
      <c r="G28" s="36"/>
      <c r="H28" s="128">
        <v>4677</v>
      </c>
      <c r="I28" s="37"/>
      <c r="J28" s="37"/>
      <c r="K28" s="37"/>
      <c r="L28" s="31"/>
      <c r="M28" s="31"/>
      <c r="N28" s="31"/>
      <c r="O28" s="31"/>
      <c r="P28" s="31"/>
      <c r="Q28" s="39"/>
      <c r="R28" s="31"/>
      <c r="S28" s="36"/>
      <c r="T28" s="36"/>
    </row>
    <row r="29" spans="2:20" ht="15.75" thickBot="1" x14ac:dyDescent="0.3">
      <c r="B29" s="34" t="s">
        <v>14</v>
      </c>
      <c r="C29" s="35">
        <v>44487.631574074076</v>
      </c>
      <c r="D29" s="31"/>
      <c r="E29" s="31"/>
      <c r="F29" s="31"/>
      <c r="G29" s="36"/>
      <c r="H29" s="128">
        <v>2021</v>
      </c>
      <c r="I29" s="37"/>
      <c r="J29" s="37"/>
      <c r="K29" s="37"/>
      <c r="L29" s="31"/>
      <c r="M29" s="31"/>
      <c r="N29" s="31"/>
      <c r="O29" s="31"/>
      <c r="P29" s="31"/>
      <c r="Q29" s="39"/>
      <c r="R29" s="31"/>
      <c r="S29" s="36"/>
      <c r="T29" s="36"/>
    </row>
    <row r="30" spans="2:20" ht="15.75" thickBot="1" x14ac:dyDescent="0.3">
      <c r="B30" s="34" t="s">
        <v>14</v>
      </c>
      <c r="C30" s="35">
        <v>44487.748738425929</v>
      </c>
      <c r="D30" s="31"/>
      <c r="E30" s="31"/>
      <c r="F30" s="31"/>
      <c r="G30" s="36"/>
      <c r="H30" s="128">
        <v>2185</v>
      </c>
      <c r="I30" s="37"/>
      <c r="J30" s="37"/>
      <c r="K30" s="37"/>
      <c r="L30" s="31"/>
      <c r="M30" s="31"/>
      <c r="N30" s="31"/>
      <c r="O30" s="31"/>
      <c r="P30" s="31"/>
      <c r="Q30" s="39"/>
      <c r="R30" s="31"/>
      <c r="S30" s="36"/>
      <c r="T30" s="36"/>
    </row>
    <row r="31" spans="2:20" ht="15.75" thickBot="1" x14ac:dyDescent="0.3">
      <c r="B31" s="34" t="s">
        <v>14</v>
      </c>
      <c r="C31" s="35">
        <v>44487.772476851853</v>
      </c>
      <c r="D31" s="31"/>
      <c r="E31" s="31"/>
      <c r="F31" s="31"/>
      <c r="G31" s="36"/>
      <c r="H31" s="128">
        <v>5794</v>
      </c>
      <c r="I31" s="37"/>
      <c r="J31" s="37"/>
      <c r="K31" s="37"/>
      <c r="L31" s="31"/>
      <c r="M31" s="31"/>
      <c r="N31" s="31"/>
      <c r="O31" s="31"/>
      <c r="P31" s="31"/>
      <c r="Q31" s="39"/>
      <c r="R31" s="31"/>
      <c r="S31" s="36"/>
      <c r="T31" s="36"/>
    </row>
    <row r="32" spans="2:20" ht="15.75" thickBot="1" x14ac:dyDescent="0.3">
      <c r="B32" s="34" t="s">
        <v>14</v>
      </c>
      <c r="C32" s="35">
        <v>44487.786550925928</v>
      </c>
      <c r="D32" s="31"/>
      <c r="E32" s="31"/>
      <c r="F32" s="31"/>
      <c r="G32" s="36"/>
      <c r="H32" s="128">
        <v>5606</v>
      </c>
      <c r="I32" s="37"/>
      <c r="J32" s="37"/>
      <c r="K32" s="37"/>
      <c r="L32" s="31"/>
      <c r="M32" s="31"/>
      <c r="N32" s="31"/>
      <c r="O32" s="31"/>
      <c r="P32" s="31"/>
      <c r="Q32" s="39"/>
      <c r="R32" s="31"/>
      <c r="S32" s="36"/>
      <c r="T32" s="36"/>
    </row>
    <row r="33" spans="2:20" ht="15.75" thickBot="1" x14ac:dyDescent="0.3">
      <c r="B33" s="34" t="s">
        <v>14</v>
      </c>
      <c r="C33" s="35">
        <v>44487.787314814814</v>
      </c>
      <c r="D33" s="31"/>
      <c r="E33" s="31"/>
      <c r="F33" s="31"/>
      <c r="G33" s="36"/>
      <c r="H33" s="128">
        <v>8160</v>
      </c>
      <c r="I33" s="37"/>
      <c r="J33" s="37"/>
      <c r="K33" s="37"/>
      <c r="L33" s="31"/>
      <c r="M33" s="31"/>
      <c r="N33" s="31"/>
      <c r="O33" s="31"/>
      <c r="P33" s="31"/>
      <c r="Q33" s="39"/>
      <c r="R33" s="31"/>
      <c r="S33" s="36"/>
      <c r="T33" s="36"/>
    </row>
    <row r="34" spans="2:20" ht="15.75" thickBot="1" x14ac:dyDescent="0.3">
      <c r="B34" s="34" t="s">
        <v>14</v>
      </c>
      <c r="C34" s="35">
        <v>44487.936053240737</v>
      </c>
      <c r="D34" s="31"/>
      <c r="E34" s="31"/>
      <c r="F34" s="31"/>
      <c r="G34" s="36"/>
      <c r="H34" s="128">
        <v>3882</v>
      </c>
      <c r="I34" s="37"/>
      <c r="J34" s="37"/>
      <c r="K34" s="37"/>
      <c r="L34" s="31"/>
      <c r="M34" s="31"/>
      <c r="N34" s="31"/>
      <c r="O34" s="31"/>
      <c r="P34" s="31"/>
      <c r="Q34" s="39"/>
      <c r="R34" s="31"/>
      <c r="S34" s="36"/>
      <c r="T34" s="36"/>
    </row>
    <row r="35" spans="2:20" ht="15.75" thickBot="1" x14ac:dyDescent="0.3">
      <c r="B35" s="34" t="s">
        <v>14</v>
      </c>
      <c r="C35" s="35">
        <v>44487.940081018518</v>
      </c>
      <c r="D35" s="31"/>
      <c r="E35" s="31"/>
      <c r="F35" s="31"/>
      <c r="G35" s="36"/>
      <c r="H35" s="128">
        <v>5563</v>
      </c>
      <c r="I35" s="37"/>
      <c r="J35" s="37"/>
      <c r="K35" s="37"/>
      <c r="L35" s="31"/>
      <c r="M35" s="31"/>
      <c r="N35" s="31"/>
      <c r="O35" s="31"/>
      <c r="P35" s="31"/>
      <c r="Q35" s="39"/>
      <c r="R35" s="31"/>
      <c r="S35" s="36"/>
      <c r="T35" s="36"/>
    </row>
    <row r="36" spans="2:20" ht="15.75" thickBot="1" x14ac:dyDescent="0.3">
      <c r="B36" s="34" t="s">
        <v>14</v>
      </c>
      <c r="C36" s="35">
        <v>44488.938472222224</v>
      </c>
      <c r="H36" s="128">
        <v>6065</v>
      </c>
    </row>
    <row r="37" spans="2:20" ht="15.75" thickBot="1" x14ac:dyDescent="0.3">
      <c r="B37" s="34" t="s">
        <v>14</v>
      </c>
      <c r="C37" s="35">
        <v>44488.942499999997</v>
      </c>
      <c r="H37" s="128">
        <v>7969</v>
      </c>
    </row>
    <row r="38" spans="2:20" ht="15.75" thickBot="1" x14ac:dyDescent="0.3">
      <c r="B38" s="34" t="s">
        <v>14</v>
      </c>
      <c r="C38" s="35">
        <v>44489.221134259256</v>
      </c>
      <c r="H38" s="128">
        <v>2581</v>
      </c>
    </row>
    <row r="39" spans="2:20" ht="15.75" thickBot="1" x14ac:dyDescent="0.3">
      <c r="B39" s="34" t="s">
        <v>14</v>
      </c>
      <c r="C39" s="35">
        <v>44489.222777777781</v>
      </c>
      <c r="H39" s="128">
        <v>3152</v>
      </c>
    </row>
    <row r="40" spans="2:20" ht="15.75" thickBot="1" x14ac:dyDescent="0.3">
      <c r="B40" s="34" t="s">
        <v>14</v>
      </c>
      <c r="C40" s="35">
        <v>44489.230520833335</v>
      </c>
      <c r="H40" s="128">
        <v>5840</v>
      </c>
    </row>
    <row r="41" spans="2:20" ht="15.75" thickBot="1" x14ac:dyDescent="0.3">
      <c r="B41" s="34" t="s">
        <v>14</v>
      </c>
      <c r="C41" s="35">
        <v>44489.397986111115</v>
      </c>
      <c r="H41" s="128">
        <v>2495</v>
      </c>
    </row>
    <row r="42" spans="2:20" ht="15.75" thickBot="1" x14ac:dyDescent="0.3">
      <c r="B42" s="34" t="s">
        <v>14</v>
      </c>
      <c r="C42" s="35">
        <v>44489.398831018516</v>
      </c>
      <c r="H42" s="128">
        <v>5126</v>
      </c>
    </row>
    <row r="43" spans="2:20" ht="15.75" thickBot="1" x14ac:dyDescent="0.3">
      <c r="B43" s="34" t="s">
        <v>14</v>
      </c>
      <c r="C43" s="35">
        <v>44489.399652777778</v>
      </c>
      <c r="H43" s="128">
        <v>4490</v>
      </c>
    </row>
    <row r="44" spans="2:20" ht="15.75" thickBot="1" x14ac:dyDescent="0.3">
      <c r="B44" s="34" t="s">
        <v>14</v>
      </c>
      <c r="C44" s="35">
        <v>44489.399884259263</v>
      </c>
      <c r="H44" s="128">
        <v>5778</v>
      </c>
    </row>
    <row r="45" spans="2:20" ht="15.75" thickBot="1" x14ac:dyDescent="0.3">
      <c r="B45" s="34" t="s">
        <v>14</v>
      </c>
      <c r="C45" s="35">
        <v>44489.400416666664</v>
      </c>
      <c r="H45" s="128">
        <v>2445</v>
      </c>
    </row>
    <row r="46" spans="2:20" ht="15.75" thickBot="1" x14ac:dyDescent="0.3">
      <c r="B46" s="34" t="s">
        <v>14</v>
      </c>
      <c r="C46" s="35">
        <v>44489.40861111111</v>
      </c>
      <c r="H46" s="128">
        <v>1215</v>
      </c>
    </row>
    <row r="47" spans="2:20" ht="15.75" thickBot="1" x14ac:dyDescent="0.3">
      <c r="B47" s="34" t="s">
        <v>14</v>
      </c>
      <c r="C47" s="35">
        <v>44489.412592592591</v>
      </c>
      <c r="H47" s="128">
        <v>5015</v>
      </c>
    </row>
    <row r="48" spans="2:20" ht="15.75" thickBot="1" x14ac:dyDescent="0.3">
      <c r="B48" s="34" t="s">
        <v>14</v>
      </c>
      <c r="C48" s="35">
        <v>44489.4143287037</v>
      </c>
      <c r="H48" s="128">
        <v>4505</v>
      </c>
    </row>
    <row r="49" spans="2:8" ht="15.75" thickBot="1" x14ac:dyDescent="0.3">
      <c r="B49" s="34" t="s">
        <v>14</v>
      </c>
      <c r="C49" s="35">
        <v>44491.097557870373</v>
      </c>
      <c r="H49" s="128">
        <v>3062</v>
      </c>
    </row>
    <row r="50" spans="2:8" ht="15.75" thickBot="1" x14ac:dyDescent="0.3">
      <c r="B50" s="34" t="s">
        <v>14</v>
      </c>
      <c r="C50" s="35">
        <v>44492.421863425923</v>
      </c>
      <c r="H50" s="128">
        <v>8733</v>
      </c>
    </row>
    <row r="51" spans="2:8" ht="15.75" thickBot="1" x14ac:dyDescent="0.3">
      <c r="B51" s="34" t="s">
        <v>14</v>
      </c>
      <c r="C51" s="35">
        <v>44492.544976851852</v>
      </c>
      <c r="H51" s="128">
        <v>4634</v>
      </c>
    </row>
    <row r="52" spans="2:8" ht="15.75" thickBot="1" x14ac:dyDescent="0.3">
      <c r="B52" s="34" t="s">
        <v>14</v>
      </c>
      <c r="C52" s="35">
        <v>44492.550127314818</v>
      </c>
      <c r="H52" s="128">
        <v>2195</v>
      </c>
    </row>
    <row r="53" spans="2:8" ht="15.75" thickBot="1" x14ac:dyDescent="0.3">
      <c r="B53" s="34" t="s">
        <v>14</v>
      </c>
      <c r="C53" s="35">
        <v>44492.619074074071</v>
      </c>
      <c r="H53" s="128">
        <v>4998</v>
      </c>
    </row>
    <row r="54" spans="2:8" ht="15.75" thickBot="1" x14ac:dyDescent="0.3">
      <c r="B54" s="34" t="s">
        <v>14</v>
      </c>
      <c r="C54" s="35">
        <v>44492.629664351851</v>
      </c>
      <c r="H54" s="128">
        <v>7247</v>
      </c>
    </row>
    <row r="55" spans="2:8" ht="15.75" thickBot="1" x14ac:dyDescent="0.3">
      <c r="B55" s="34" t="s">
        <v>14</v>
      </c>
      <c r="C55" s="35">
        <v>44493.549722222226</v>
      </c>
      <c r="H55" s="128">
        <v>8258</v>
      </c>
    </row>
    <row r="56" spans="2:8" ht="15.75" thickBot="1" x14ac:dyDescent="0.3">
      <c r="B56" s="34" t="s">
        <v>14</v>
      </c>
      <c r="C56" s="35">
        <v>44493.564039351855</v>
      </c>
      <c r="H56" s="128">
        <v>249</v>
      </c>
    </row>
    <row r="57" spans="2:8" ht="15.75" thickBot="1" x14ac:dyDescent="0.3">
      <c r="B57" s="34" t="s">
        <v>14</v>
      </c>
      <c r="C57" s="35">
        <v>44493.581134259257</v>
      </c>
      <c r="H57" s="128">
        <v>7603</v>
      </c>
    </row>
    <row r="58" spans="2:8" ht="15.75" thickBot="1" x14ac:dyDescent="0.3">
      <c r="B58" s="34" t="s">
        <v>14</v>
      </c>
      <c r="C58" s="35">
        <v>44493.58252314815</v>
      </c>
      <c r="H58" s="128">
        <v>1600</v>
      </c>
    </row>
    <row r="59" spans="2:8" ht="15.75" thickBot="1" x14ac:dyDescent="0.3">
      <c r="B59" s="34" t="s">
        <v>14</v>
      </c>
      <c r="C59" s="35">
        <v>44493.589942129627</v>
      </c>
      <c r="H59" s="128">
        <v>7844</v>
      </c>
    </row>
    <row r="60" spans="2:8" ht="15.75" thickBot="1" x14ac:dyDescent="0.3">
      <c r="B60" s="34" t="s">
        <v>14</v>
      </c>
      <c r="C60" s="35">
        <v>44493.590798611112</v>
      </c>
      <c r="H60" s="128">
        <v>2802</v>
      </c>
    </row>
    <row r="61" spans="2:8" ht="15.75" thickBot="1" x14ac:dyDescent="0.3">
      <c r="B61" s="34" t="s">
        <v>14</v>
      </c>
      <c r="C61" s="35">
        <v>44493.595057870371</v>
      </c>
      <c r="H61" s="128">
        <v>5792</v>
      </c>
    </row>
    <row r="62" spans="2:8" ht="15.75" thickBot="1" x14ac:dyDescent="0.3">
      <c r="B62" s="34" t="s">
        <v>14</v>
      </c>
      <c r="C62" s="35">
        <v>44493.603449074071</v>
      </c>
      <c r="H62" s="128">
        <v>7226</v>
      </c>
    </row>
    <row r="63" spans="2:8" ht="15.75" thickBot="1" x14ac:dyDescent="0.3">
      <c r="B63" s="34" t="s">
        <v>14</v>
      </c>
      <c r="C63" s="35">
        <v>44493.743495370371</v>
      </c>
      <c r="H63" s="128">
        <v>5260</v>
      </c>
    </row>
    <row r="64" spans="2:8" ht="15.75" thickBot="1" x14ac:dyDescent="0.3">
      <c r="B64" s="34" t="s">
        <v>14</v>
      </c>
      <c r="C64" s="35">
        <v>44494.27140046296</v>
      </c>
      <c r="H64" s="128">
        <v>3147</v>
      </c>
    </row>
    <row r="65" spans="2:8" ht="15.75" thickBot="1" x14ac:dyDescent="0.3">
      <c r="B65" s="34" t="s">
        <v>14</v>
      </c>
      <c r="C65" s="35">
        <v>44495.812418981484</v>
      </c>
      <c r="H65" s="128">
        <v>4274</v>
      </c>
    </row>
    <row r="66" spans="2:8" ht="15.75" thickBot="1" x14ac:dyDescent="0.3">
      <c r="B66" s="34" t="s">
        <v>14</v>
      </c>
      <c r="C66" s="35">
        <v>44495.838136574072</v>
      </c>
      <c r="H66" s="128">
        <v>3658</v>
      </c>
    </row>
    <row r="67" spans="2:8" ht="15.75" thickBot="1" x14ac:dyDescent="0.3">
      <c r="B67" s="34" t="s">
        <v>14</v>
      </c>
      <c r="C67" s="35">
        <v>44495.887442129628</v>
      </c>
      <c r="H67" s="128">
        <v>2510</v>
      </c>
    </row>
    <row r="68" spans="2:8" ht="15.75" thickBot="1" x14ac:dyDescent="0.3">
      <c r="B68" s="34" t="s">
        <v>14</v>
      </c>
      <c r="C68" s="35">
        <v>44496.349224537036</v>
      </c>
      <c r="H68" s="128">
        <v>671</v>
      </c>
    </row>
    <row r="69" spans="2:8" ht="15.75" thickBot="1" x14ac:dyDescent="0.3">
      <c r="B69" s="34" t="s">
        <v>14</v>
      </c>
      <c r="C69" s="35">
        <v>44496.572592592594</v>
      </c>
      <c r="H69" s="128">
        <v>2772</v>
      </c>
    </row>
    <row r="70" spans="2:8" ht="15.75" thickBot="1" x14ac:dyDescent="0.3">
      <c r="B70" s="34" t="s">
        <v>14</v>
      </c>
      <c r="C70" s="35">
        <v>44496.604201388887</v>
      </c>
      <c r="H70" s="128">
        <v>3993</v>
      </c>
    </row>
    <row r="71" spans="2:8" ht="15.75" thickBot="1" x14ac:dyDescent="0.3">
      <c r="B71" s="34" t="s">
        <v>14</v>
      </c>
      <c r="C71" s="35">
        <v>44497.41170138889</v>
      </c>
      <c r="H71" s="128">
        <v>8599</v>
      </c>
    </row>
    <row r="72" spans="2:8" ht="15.75" thickBot="1" x14ac:dyDescent="0.3">
      <c r="B72" s="34" t="s">
        <v>14</v>
      </c>
      <c r="C72" s="35">
        <v>44497.910613425927</v>
      </c>
      <c r="H72" s="128">
        <v>7767</v>
      </c>
    </row>
    <row r="73" spans="2:8" ht="15.75" thickBot="1" x14ac:dyDescent="0.3">
      <c r="B73" s="34" t="s">
        <v>14</v>
      </c>
      <c r="C73" s="35">
        <v>44499.377881944441</v>
      </c>
      <c r="H73" s="128">
        <v>5122</v>
      </c>
    </row>
    <row r="74" spans="2:8" ht="15.75" thickBot="1" x14ac:dyDescent="0.3">
      <c r="B74" s="34" t="s">
        <v>14</v>
      </c>
      <c r="C74" s="35">
        <v>44499.403379629628</v>
      </c>
      <c r="H74" s="128">
        <v>417</v>
      </c>
    </row>
    <row r="75" spans="2:8" ht="15.75" thickBot="1" x14ac:dyDescent="0.3">
      <c r="B75" s="34" t="s">
        <v>14</v>
      </c>
      <c r="C75" s="35">
        <v>44499.449363425927</v>
      </c>
      <c r="H75" s="128">
        <v>5008</v>
      </c>
    </row>
    <row r="76" spans="2:8" ht="15.75" thickBot="1" x14ac:dyDescent="0.3">
      <c r="B76" s="34" t="s">
        <v>14</v>
      </c>
      <c r="C76" s="35">
        <v>44499.865162037036</v>
      </c>
      <c r="H76" s="128">
        <v>5936</v>
      </c>
    </row>
    <row r="77" spans="2:8" ht="15.75" thickBot="1" x14ac:dyDescent="0.3">
      <c r="B77" s="34" t="s">
        <v>14</v>
      </c>
      <c r="C77" s="35">
        <v>44500.502581018518</v>
      </c>
      <c r="H77" s="128">
        <v>4977</v>
      </c>
    </row>
    <row r="78" spans="2:8" ht="15.75" thickBot="1" x14ac:dyDescent="0.3">
      <c r="B78" s="34" t="s">
        <v>14</v>
      </c>
      <c r="C78" s="35">
        <v>44500.510127314818</v>
      </c>
      <c r="H78" s="128">
        <v>4262</v>
      </c>
    </row>
    <row r="79" spans="2:8" ht="15.75" thickBot="1" x14ac:dyDescent="0.3">
      <c r="B79" s="34" t="s">
        <v>14</v>
      </c>
      <c r="C79" s="35">
        <v>44500.638310185182</v>
      </c>
      <c r="H79" s="128">
        <v>6580</v>
      </c>
    </row>
    <row r="80" spans="2:8" ht="15.75" thickBot="1" x14ac:dyDescent="0.3">
      <c r="B80" s="34" t="s">
        <v>14</v>
      </c>
      <c r="C80" s="35">
        <v>44500.723379629628</v>
      </c>
      <c r="H80" s="128">
        <v>1515</v>
      </c>
    </row>
    <row r="81" spans="2:8" ht="15.75" thickBot="1" x14ac:dyDescent="0.3">
      <c r="B81" s="34" t="s">
        <v>14</v>
      </c>
      <c r="C81" s="35">
        <v>44500.911597222221</v>
      </c>
      <c r="H81" s="128">
        <v>6825</v>
      </c>
    </row>
    <row r="82" spans="2:8" ht="15.75" thickBot="1" x14ac:dyDescent="0.3">
      <c r="B82" s="34" t="s">
        <v>14</v>
      </c>
      <c r="C82" s="35">
        <v>44504.657905092594</v>
      </c>
      <c r="H82" s="128">
        <v>610</v>
      </c>
    </row>
    <row r="83" spans="2:8" ht="15.75" thickBot="1" x14ac:dyDescent="0.3">
      <c r="B83" s="34" t="s">
        <v>14</v>
      </c>
      <c r="C83" s="35">
        <v>44505.602916666663</v>
      </c>
      <c r="H83" s="128">
        <v>5560</v>
      </c>
    </row>
    <row r="84" spans="2:8" ht="15.75" thickBot="1" x14ac:dyDescent="0.3">
      <c r="B84" s="34" t="s">
        <v>14</v>
      </c>
      <c r="C84" s="35">
        <v>44505.681655092594</v>
      </c>
      <c r="H84" s="128">
        <v>579</v>
      </c>
    </row>
    <row r="85" spans="2:8" ht="15.75" thickBot="1" x14ac:dyDescent="0.3">
      <c r="B85" s="34" t="s">
        <v>14</v>
      </c>
      <c r="C85" s="35">
        <v>44505.691944444443</v>
      </c>
      <c r="H85" s="128">
        <v>2545</v>
      </c>
    </row>
    <row r="86" spans="2:8" ht="15.75" thickBot="1" x14ac:dyDescent="0.3">
      <c r="B86" s="34" t="s">
        <v>14</v>
      </c>
      <c r="C86" s="35">
        <v>44506.51357638889</v>
      </c>
      <c r="H86" s="128">
        <v>1102</v>
      </c>
    </row>
    <row r="87" spans="2:8" ht="15.75" thickBot="1" x14ac:dyDescent="0.3">
      <c r="B87" s="34" t="s">
        <v>14</v>
      </c>
      <c r="C87" s="35">
        <v>44506.529374999998</v>
      </c>
      <c r="H87" s="128">
        <v>5072</v>
      </c>
    </row>
    <row r="88" spans="2:8" ht="15.75" thickBot="1" x14ac:dyDescent="0.3">
      <c r="B88" s="34" t="s">
        <v>14</v>
      </c>
      <c r="C88" s="35">
        <v>44507.646087962959</v>
      </c>
      <c r="H88" s="128">
        <v>7776</v>
      </c>
    </row>
    <row r="89" spans="2:8" ht="15.75" thickBot="1" x14ac:dyDescent="0.3">
      <c r="B89" s="34" t="s">
        <v>14</v>
      </c>
      <c r="C89" s="35">
        <v>44507.652905092589</v>
      </c>
      <c r="H89" s="128">
        <v>922</v>
      </c>
    </row>
    <row r="90" spans="2:8" ht="15.75" thickBot="1" x14ac:dyDescent="0.3">
      <c r="B90" s="34"/>
      <c r="C90" s="35"/>
      <c r="H90" s="128">
        <v>5473</v>
      </c>
    </row>
    <row r="91" spans="2:8" ht="15.75" thickBot="1" x14ac:dyDescent="0.3">
      <c r="B91" s="34"/>
      <c r="C91" s="35"/>
      <c r="H91" s="128">
        <v>4938</v>
      </c>
    </row>
    <row r="92" spans="2:8" ht="15.75" thickBot="1" x14ac:dyDescent="0.3">
      <c r="B92" s="34"/>
      <c r="C92" s="35"/>
      <c r="H92" s="128">
        <v>1739</v>
      </c>
    </row>
    <row r="93" spans="2:8" ht="15.75" thickBot="1" x14ac:dyDescent="0.3">
      <c r="B93" s="34"/>
      <c r="C93" s="35"/>
      <c r="H93" s="128">
        <v>6408</v>
      </c>
    </row>
    <row r="94" spans="2:8" ht="15.75" thickBot="1" x14ac:dyDescent="0.3">
      <c r="B94" s="34"/>
      <c r="C94" s="35"/>
      <c r="H94" s="128">
        <v>4066</v>
      </c>
    </row>
    <row r="95" spans="2:8" ht="15.75" thickBot="1" x14ac:dyDescent="0.3">
      <c r="B95" s="34"/>
      <c r="C95" s="35"/>
      <c r="H95" s="128">
        <v>309</v>
      </c>
    </row>
    <row r="96" spans="2:8" ht="15.75" thickBot="1" x14ac:dyDescent="0.3">
      <c r="B96" s="34"/>
      <c r="C96" s="35"/>
      <c r="H96" s="128">
        <v>3199</v>
      </c>
    </row>
    <row r="97" spans="2:8" ht="15.75" thickBot="1" x14ac:dyDescent="0.3">
      <c r="B97" s="34"/>
      <c r="C97" s="35"/>
      <c r="H97" s="128">
        <v>1549</v>
      </c>
    </row>
    <row r="98" spans="2:8" ht="15.75" thickBot="1" x14ac:dyDescent="0.3">
      <c r="B98" s="34"/>
      <c r="C98" s="35"/>
      <c r="H98" s="128">
        <v>7086</v>
      </c>
    </row>
    <row r="99" spans="2:8" ht="15.75" thickBot="1" x14ac:dyDescent="0.3">
      <c r="B99" s="34"/>
      <c r="C99" s="35"/>
      <c r="H99" s="128">
        <v>6344</v>
      </c>
    </row>
    <row r="100" spans="2:8" ht="15.75" thickBot="1" x14ac:dyDescent="0.3">
      <c r="B100" s="34"/>
      <c r="C100" s="35"/>
      <c r="H100" s="128">
        <v>6530</v>
      </c>
    </row>
    <row r="101" spans="2:8" ht="15.75" thickBot="1" x14ac:dyDescent="0.3">
      <c r="B101" s="34"/>
      <c r="C101" s="35"/>
      <c r="H101" s="128">
        <v>1543</v>
      </c>
    </row>
    <row r="102" spans="2:8" ht="15.75" thickBot="1" x14ac:dyDescent="0.3">
      <c r="B102" s="34"/>
      <c r="C102" s="35"/>
      <c r="H102" s="128">
        <v>2606</v>
      </c>
    </row>
    <row r="103" spans="2:8" ht="15.75" thickBot="1" x14ac:dyDescent="0.3">
      <c r="B103" s="34"/>
      <c r="C103" s="35"/>
      <c r="H103" s="128">
        <v>6546</v>
      </c>
    </row>
    <row r="104" spans="2:8" ht="15.75" thickBot="1" x14ac:dyDescent="0.3">
      <c r="B104" s="34"/>
      <c r="C104" s="35"/>
      <c r="H104" s="128">
        <v>6607</v>
      </c>
    </row>
    <row r="105" spans="2:8" ht="15.75" thickBot="1" x14ac:dyDescent="0.3">
      <c r="B105" s="34"/>
      <c r="C105" s="35"/>
      <c r="H105" s="128">
        <v>8578</v>
      </c>
    </row>
    <row r="106" spans="2:8" ht="15.75" thickBot="1" x14ac:dyDescent="0.3">
      <c r="B106" s="34"/>
      <c r="C106" s="35"/>
      <c r="H106" s="128">
        <v>2467</v>
      </c>
    </row>
    <row r="107" spans="2:8" ht="15.75" thickBot="1" x14ac:dyDescent="0.3">
      <c r="B107" s="34"/>
      <c r="C107" s="35"/>
      <c r="H107" s="128">
        <v>1049</v>
      </c>
    </row>
    <row r="108" spans="2:8" ht="15.75" thickBot="1" x14ac:dyDescent="0.3">
      <c r="B108" s="34"/>
      <c r="C108" s="35"/>
      <c r="H108" s="128">
        <v>4209</v>
      </c>
    </row>
    <row r="109" spans="2:8" ht="15.75" thickBot="1" x14ac:dyDescent="0.3">
      <c r="B109" s="34"/>
      <c r="C109" s="35"/>
      <c r="H109" s="128">
        <v>7167</v>
      </c>
    </row>
    <row r="110" spans="2:8" ht="15.75" thickBot="1" x14ac:dyDescent="0.3">
      <c r="B110" s="34"/>
      <c r="C110" s="35"/>
      <c r="H110" s="128">
        <v>413</v>
      </c>
    </row>
    <row r="111" spans="2:8" ht="15.75" thickBot="1" x14ac:dyDescent="0.3">
      <c r="B111" s="34"/>
      <c r="C111" s="35"/>
      <c r="H111" s="128">
        <v>309</v>
      </c>
    </row>
    <row r="112" spans="2:8" ht="15.75" thickBot="1" x14ac:dyDescent="0.3">
      <c r="B112" s="34"/>
      <c r="C112" s="35"/>
      <c r="H112" s="128">
        <v>1069</v>
      </c>
    </row>
    <row r="113" spans="2:8" ht="15.75" thickBot="1" x14ac:dyDescent="0.3">
      <c r="B113" s="34"/>
      <c r="C113" s="35"/>
      <c r="H113" s="128">
        <v>665</v>
      </c>
    </row>
    <row r="114" spans="2:8" ht="15.75" thickBot="1" x14ac:dyDescent="0.3">
      <c r="B114" s="34"/>
      <c r="C114" s="35"/>
      <c r="H114" s="128">
        <v>5297</v>
      </c>
    </row>
    <row r="115" spans="2:8" ht="15.75" thickBot="1" x14ac:dyDescent="0.3">
      <c r="B115" s="34"/>
      <c r="C115" s="35"/>
      <c r="H115" s="128">
        <v>8085</v>
      </c>
    </row>
    <row r="116" spans="2:8" ht="15.75" thickBot="1" x14ac:dyDescent="0.3">
      <c r="B116" s="34"/>
      <c r="C116" s="35"/>
      <c r="H116" s="128">
        <v>4251</v>
      </c>
    </row>
    <row r="117" spans="2:8" ht="15.75" thickBot="1" x14ac:dyDescent="0.3">
      <c r="B117" s="34"/>
      <c r="C117" s="35"/>
      <c r="H117" s="128">
        <v>8127</v>
      </c>
    </row>
    <row r="118" spans="2:8" ht="15.75" thickBot="1" x14ac:dyDescent="0.3">
      <c r="B118" s="34"/>
      <c r="C118" s="35"/>
      <c r="H118" s="128">
        <v>4621</v>
      </c>
    </row>
    <row r="119" spans="2:8" ht="15.75" thickBot="1" x14ac:dyDescent="0.3">
      <c r="B119" s="34"/>
      <c r="C119" s="35"/>
      <c r="H119" s="128">
        <v>3447</v>
      </c>
    </row>
    <row r="120" spans="2:8" ht="15.75" thickBot="1" x14ac:dyDescent="0.3">
      <c r="B120" s="34"/>
      <c r="C120" s="35"/>
      <c r="H120" s="128">
        <v>2743</v>
      </c>
    </row>
    <row r="121" spans="2:8" ht="15.75" thickBot="1" x14ac:dyDescent="0.3">
      <c r="B121" s="34"/>
      <c r="C121" s="35"/>
      <c r="H121" s="128">
        <v>1244</v>
      </c>
    </row>
    <row r="122" spans="2:8" ht="15.75" thickBot="1" x14ac:dyDescent="0.3">
      <c r="B122" s="34"/>
      <c r="C122" s="35"/>
      <c r="H122" s="128">
        <v>6511</v>
      </c>
    </row>
    <row r="123" spans="2:8" ht="15.75" thickBot="1" x14ac:dyDescent="0.3">
      <c r="B123" s="34"/>
      <c r="C123" s="35"/>
      <c r="H123" s="128">
        <v>6022</v>
      </c>
    </row>
    <row r="124" spans="2:8" ht="15.75" thickBot="1" x14ac:dyDescent="0.3">
      <c r="B124" s="34"/>
      <c r="C124" s="35"/>
      <c r="H124" s="128">
        <v>1136</v>
      </c>
    </row>
    <row r="125" spans="2:8" ht="15.75" thickBot="1" x14ac:dyDescent="0.3">
      <c r="B125" s="34"/>
      <c r="C125" s="35"/>
      <c r="H125" s="128">
        <v>8199</v>
      </c>
    </row>
    <row r="126" spans="2:8" ht="15.75" thickBot="1" x14ac:dyDescent="0.3">
      <c r="B126" s="34"/>
      <c r="C126" s="35"/>
      <c r="H126" s="128">
        <v>3517</v>
      </c>
    </row>
    <row r="127" spans="2:8" ht="15.75" thickBot="1" x14ac:dyDescent="0.3">
      <c r="B127" s="34"/>
      <c r="C127" s="35"/>
      <c r="H127" s="128">
        <v>1213</v>
      </c>
    </row>
    <row r="128" spans="2:8" ht="15.75" thickBot="1" x14ac:dyDescent="0.3">
      <c r="B128" s="34"/>
      <c r="C128" s="35"/>
      <c r="H128" s="128">
        <v>2915</v>
      </c>
    </row>
    <row r="129" spans="2:8" ht="15.75" thickBot="1" x14ac:dyDescent="0.3">
      <c r="B129" s="34"/>
      <c r="C129" s="35"/>
      <c r="H129" s="128">
        <v>6815</v>
      </c>
    </row>
    <row r="130" spans="2:8" ht="15.75" thickBot="1" x14ac:dyDescent="0.3">
      <c r="B130" s="34"/>
      <c r="C130" s="35"/>
      <c r="H130" s="128">
        <v>3767</v>
      </c>
    </row>
    <row r="131" spans="2:8" ht="15.75" thickBot="1" x14ac:dyDescent="0.3">
      <c r="B131" s="34"/>
      <c r="C131" s="35"/>
      <c r="H131" s="128">
        <v>1399</v>
      </c>
    </row>
    <row r="132" spans="2:8" ht="15.75" thickBot="1" x14ac:dyDescent="0.3">
      <c r="B132" s="34"/>
      <c r="C132" s="35"/>
      <c r="H132" s="128">
        <v>6271</v>
      </c>
    </row>
    <row r="133" spans="2:8" ht="15.75" thickBot="1" x14ac:dyDescent="0.3">
      <c r="B133" s="34"/>
      <c r="C133" s="35"/>
      <c r="H133" s="128">
        <v>1248</v>
      </c>
    </row>
    <row r="134" spans="2:8" ht="15.75" thickBot="1" x14ac:dyDescent="0.3">
      <c r="B134" s="34"/>
      <c r="C134" s="35"/>
      <c r="H134" s="128">
        <v>7178</v>
      </c>
    </row>
    <row r="135" spans="2:8" ht="15.75" thickBot="1" x14ac:dyDescent="0.3">
      <c r="B135" s="34"/>
      <c r="C135" s="35"/>
      <c r="H135" s="128">
        <v>8726</v>
      </c>
    </row>
    <row r="136" spans="2:8" ht="15.75" thickBot="1" x14ac:dyDescent="0.3">
      <c r="B136" s="34"/>
      <c r="C136" s="35"/>
      <c r="H136" s="128">
        <v>3422</v>
      </c>
    </row>
    <row r="137" spans="2:8" ht="15.75" thickBot="1" x14ac:dyDescent="0.3">
      <c r="B137" s="34"/>
      <c r="C137" s="35"/>
      <c r="H137" s="128">
        <v>6860</v>
      </c>
    </row>
    <row r="138" spans="2:8" ht="15.75" thickBot="1" x14ac:dyDescent="0.3">
      <c r="B138" s="34"/>
      <c r="C138" s="35"/>
      <c r="H138" s="128">
        <v>7970</v>
      </c>
    </row>
    <row r="139" spans="2:8" ht="15.75" thickBot="1" x14ac:dyDescent="0.3">
      <c r="B139" s="34"/>
      <c r="C139" s="35"/>
      <c r="H139" s="128">
        <v>6158</v>
      </c>
    </row>
    <row r="140" spans="2:8" ht="15.75" thickBot="1" x14ac:dyDescent="0.3">
      <c r="B140" s="34"/>
      <c r="C140" s="35"/>
      <c r="H140" s="128">
        <v>4387</v>
      </c>
    </row>
    <row r="141" spans="2:8" ht="15.75" thickBot="1" x14ac:dyDescent="0.3">
      <c r="B141" s="34"/>
      <c r="C141" s="35"/>
      <c r="H141" s="128">
        <v>6241</v>
      </c>
    </row>
    <row r="142" spans="2:8" ht="15.75" thickBot="1" x14ac:dyDescent="0.3">
      <c r="B142" s="34"/>
      <c r="C142" s="35"/>
      <c r="H142" s="128">
        <v>5064</v>
      </c>
    </row>
    <row r="143" spans="2:8" ht="15.75" thickBot="1" x14ac:dyDescent="0.3">
      <c r="B143" s="34"/>
      <c r="C143" s="35"/>
      <c r="H143" s="128">
        <v>6926</v>
      </c>
    </row>
    <row r="144" spans="2:8" ht="15.75" thickBot="1" x14ac:dyDescent="0.3">
      <c r="B144" s="34"/>
      <c r="C144" s="35"/>
      <c r="H144" s="128">
        <v>7925</v>
      </c>
    </row>
    <row r="145" spans="2:8" ht="15.75" thickBot="1" x14ac:dyDescent="0.3">
      <c r="B145" s="34"/>
      <c r="C145" s="35"/>
      <c r="H145" s="128">
        <v>8302</v>
      </c>
    </row>
    <row r="146" spans="2:8" ht="15.75" thickBot="1" x14ac:dyDescent="0.3">
      <c r="B146" s="34"/>
      <c r="C146" s="35"/>
      <c r="H146" s="128">
        <v>7158</v>
      </c>
    </row>
    <row r="147" spans="2:8" ht="15.75" thickBot="1" x14ac:dyDescent="0.3">
      <c r="B147" s="34"/>
      <c r="C147" s="35"/>
      <c r="H147" s="128">
        <v>8621</v>
      </c>
    </row>
    <row r="148" spans="2:8" ht="15.75" thickBot="1" x14ac:dyDescent="0.3">
      <c r="B148" s="34"/>
      <c r="C148" s="35"/>
      <c r="H148" s="128">
        <v>6717</v>
      </c>
    </row>
    <row r="149" spans="2:8" ht="15.75" thickBot="1" x14ac:dyDescent="0.3">
      <c r="B149" s="34"/>
      <c r="C149" s="35"/>
      <c r="H149" s="128">
        <v>6944</v>
      </c>
    </row>
    <row r="150" spans="2:8" ht="15.75" thickBot="1" x14ac:dyDescent="0.3">
      <c r="B150" s="34"/>
      <c r="C150" s="35"/>
      <c r="H150" s="128">
        <v>4035</v>
      </c>
    </row>
    <row r="151" spans="2:8" ht="15.75" thickBot="1" x14ac:dyDescent="0.3">
      <c r="B151" s="34"/>
      <c r="C151" s="35"/>
      <c r="H151" s="128">
        <v>2363</v>
      </c>
    </row>
    <row r="152" spans="2:8" ht="15.75" thickBot="1" x14ac:dyDescent="0.3">
      <c r="B152" s="34"/>
      <c r="C152" s="35"/>
      <c r="H152" s="128">
        <v>3199</v>
      </c>
    </row>
    <row r="153" spans="2:8" ht="15.75" thickBot="1" x14ac:dyDescent="0.3">
      <c r="B153" s="34"/>
      <c r="C153" s="35"/>
      <c r="H153" s="128">
        <v>2292</v>
      </c>
    </row>
    <row r="154" spans="2:8" ht="15.75" thickBot="1" x14ac:dyDescent="0.3">
      <c r="B154" s="34"/>
      <c r="C154" s="35"/>
      <c r="H154" s="128">
        <v>8279</v>
      </c>
    </row>
    <row r="155" spans="2:8" ht="15.75" thickBot="1" x14ac:dyDescent="0.3">
      <c r="B155" s="34"/>
      <c r="C155" s="35"/>
      <c r="H155" s="128">
        <v>5685</v>
      </c>
    </row>
    <row r="156" spans="2:8" ht="15.75" thickBot="1" x14ac:dyDescent="0.3">
      <c r="B156" s="34"/>
      <c r="C156" s="35"/>
      <c r="H156" s="128">
        <v>3349</v>
      </c>
    </row>
    <row r="157" spans="2:8" ht="15.75" thickBot="1" x14ac:dyDescent="0.3">
      <c r="B157" s="34"/>
      <c r="C157" s="35"/>
      <c r="H157" s="128">
        <v>1775</v>
      </c>
    </row>
    <row r="158" spans="2:8" ht="15.75" thickBot="1" x14ac:dyDescent="0.3">
      <c r="B158" s="34"/>
      <c r="C158" s="35"/>
      <c r="H158" s="128">
        <v>2535</v>
      </c>
    </row>
    <row r="159" spans="2:8" ht="15.75" thickBot="1" x14ac:dyDescent="0.3">
      <c r="B159" s="34"/>
      <c r="C159" s="35"/>
      <c r="H159" s="128">
        <v>2690</v>
      </c>
    </row>
    <row r="160" spans="2:8" ht="15.75" thickBot="1" x14ac:dyDescent="0.3">
      <c r="B160" s="34"/>
      <c r="C160" s="35"/>
      <c r="H160" s="128">
        <v>7461</v>
      </c>
    </row>
    <row r="161" spans="2:8" ht="15.75" thickBot="1" x14ac:dyDescent="0.3">
      <c r="B161" s="34"/>
      <c r="C161" s="35"/>
      <c r="H161" s="128">
        <v>3720</v>
      </c>
    </row>
    <row r="162" spans="2:8" ht="15.75" thickBot="1" x14ac:dyDescent="0.3">
      <c r="B162" s="34"/>
      <c r="C162" s="35"/>
      <c r="H162" s="128">
        <v>746</v>
      </c>
    </row>
    <row r="163" spans="2:8" ht="15.75" thickBot="1" x14ac:dyDescent="0.3">
      <c r="B163" s="34"/>
      <c r="C163" s="35"/>
      <c r="H163" s="128">
        <v>5348</v>
      </c>
    </row>
    <row r="164" spans="2:8" ht="15.75" thickBot="1" x14ac:dyDescent="0.3">
      <c r="B164" s="34"/>
      <c r="C164" s="35"/>
      <c r="H164" s="128">
        <v>2881</v>
      </c>
    </row>
    <row r="165" spans="2:8" ht="15.75" thickBot="1" x14ac:dyDescent="0.3">
      <c r="B165" s="34"/>
      <c r="C165" s="35"/>
      <c r="H165" s="128">
        <v>1745</v>
      </c>
    </row>
    <row r="166" spans="2:8" ht="15.75" thickBot="1" x14ac:dyDescent="0.3">
      <c r="B166" s="34"/>
      <c r="C166" s="35"/>
      <c r="H166" s="128">
        <v>1416</v>
      </c>
    </row>
    <row r="167" spans="2:8" ht="15.75" thickBot="1" x14ac:dyDescent="0.3">
      <c r="B167" s="34"/>
      <c r="C167" s="35"/>
      <c r="H167" s="128">
        <v>8818</v>
      </c>
    </row>
    <row r="168" spans="2:8" ht="15.75" thickBot="1" x14ac:dyDescent="0.3">
      <c r="B168" s="34"/>
      <c r="C168" s="35"/>
      <c r="H168" s="128">
        <v>7747</v>
      </c>
    </row>
    <row r="169" spans="2:8" ht="15.75" thickBot="1" x14ac:dyDescent="0.3">
      <c r="B169" s="34"/>
      <c r="C169" s="35"/>
      <c r="H169" s="128">
        <v>3544</v>
      </c>
    </row>
    <row r="170" spans="2:8" ht="15.75" thickBot="1" x14ac:dyDescent="0.3">
      <c r="B170" s="34"/>
      <c r="C170" s="35"/>
      <c r="H170" s="128">
        <v>7746</v>
      </c>
    </row>
    <row r="171" spans="2:8" ht="15.75" thickBot="1" x14ac:dyDescent="0.3">
      <c r="B171" s="34"/>
      <c r="C171" s="35"/>
      <c r="H171" s="128">
        <v>4679</v>
      </c>
    </row>
    <row r="172" spans="2:8" ht="15.75" thickBot="1" x14ac:dyDescent="0.3">
      <c r="B172" s="34"/>
      <c r="C172" s="35"/>
      <c r="H172" s="128">
        <v>96</v>
      </c>
    </row>
    <row r="173" spans="2:8" ht="15.75" thickBot="1" x14ac:dyDescent="0.3">
      <c r="B173" s="34"/>
      <c r="C173" s="35"/>
      <c r="H173" s="128">
        <v>8339</v>
      </c>
    </row>
    <row r="174" spans="2:8" ht="15.75" thickBot="1" x14ac:dyDescent="0.3">
      <c r="B174" s="34"/>
      <c r="C174" s="35"/>
      <c r="H174" s="128">
        <v>7117</v>
      </c>
    </row>
    <row r="175" spans="2:8" ht="15.75" thickBot="1" x14ac:dyDescent="0.3">
      <c r="B175" s="34"/>
      <c r="C175" s="35"/>
      <c r="H175" s="128">
        <v>3761</v>
      </c>
    </row>
    <row r="176" spans="2:8" ht="15.75" thickBot="1" x14ac:dyDescent="0.3">
      <c r="B176" s="34"/>
      <c r="C176" s="35"/>
      <c r="H176" s="128">
        <v>6057</v>
      </c>
    </row>
    <row r="177" spans="2:8" ht="15.75" thickBot="1" x14ac:dyDescent="0.3">
      <c r="B177" s="34"/>
      <c r="C177" s="35"/>
      <c r="H177" s="128">
        <v>7283</v>
      </c>
    </row>
    <row r="178" spans="2:8" ht="15.75" thickBot="1" x14ac:dyDescent="0.3">
      <c r="B178" s="34"/>
      <c r="C178" s="35"/>
      <c r="H178" s="128">
        <v>4935</v>
      </c>
    </row>
    <row r="179" spans="2:8" ht="15.75" thickBot="1" x14ac:dyDescent="0.3">
      <c r="B179" s="34"/>
      <c r="C179" s="35"/>
      <c r="H179" s="128">
        <v>6911</v>
      </c>
    </row>
    <row r="180" spans="2:8" ht="15.75" thickBot="1" x14ac:dyDescent="0.3">
      <c r="B180" s="34"/>
      <c r="C180" s="35"/>
      <c r="H180" s="128">
        <v>6048</v>
      </c>
    </row>
    <row r="181" spans="2:8" ht="15.75" thickBot="1" x14ac:dyDescent="0.3">
      <c r="B181" s="34"/>
      <c r="C181" s="35"/>
      <c r="H181" s="128">
        <v>8148</v>
      </c>
    </row>
    <row r="182" spans="2:8" ht="15.75" thickBot="1" x14ac:dyDescent="0.3">
      <c r="B182" s="34"/>
      <c r="C182" s="35"/>
      <c r="H182" s="128">
        <v>7235</v>
      </c>
    </row>
    <row r="183" spans="2:8" ht="15.75" thickBot="1" x14ac:dyDescent="0.3">
      <c r="B183" s="34"/>
      <c r="C183" s="35"/>
      <c r="H183" s="128">
        <v>989</v>
      </c>
    </row>
    <row r="184" spans="2:8" ht="15.75" thickBot="1" x14ac:dyDescent="0.3">
      <c r="B184" s="34"/>
      <c r="C184" s="35"/>
      <c r="H184" s="128">
        <v>6524</v>
      </c>
    </row>
    <row r="185" spans="2:8" ht="15.75" thickBot="1" x14ac:dyDescent="0.3">
      <c r="B185" s="34"/>
      <c r="C185" s="35"/>
      <c r="H185" s="128">
        <v>3599</v>
      </c>
    </row>
    <row r="186" spans="2:8" ht="15.75" thickBot="1" x14ac:dyDescent="0.3">
      <c r="B186" s="34"/>
      <c r="C186" s="35"/>
      <c r="H186" s="128">
        <v>4724</v>
      </c>
    </row>
    <row r="187" spans="2:8" ht="15.75" thickBot="1" x14ac:dyDescent="0.3">
      <c r="B187" s="34"/>
      <c r="C187" s="35"/>
      <c r="H187" s="128">
        <v>856</v>
      </c>
    </row>
    <row r="188" spans="2:8" ht="15.75" thickBot="1" x14ac:dyDescent="0.3">
      <c r="B188" s="34"/>
      <c r="C188" s="35"/>
      <c r="H188" s="128">
        <v>8585</v>
      </c>
    </row>
    <row r="189" spans="2:8" ht="15.75" thickBot="1" x14ac:dyDescent="0.3">
      <c r="B189" s="34"/>
      <c r="C189" s="35"/>
      <c r="H189" s="128">
        <v>1495</v>
      </c>
    </row>
    <row r="190" spans="2:8" ht="15.75" thickBot="1" x14ac:dyDescent="0.3">
      <c r="B190" s="34"/>
      <c r="C190" s="35"/>
      <c r="H190" s="128">
        <v>4144</v>
      </c>
    </row>
    <row r="191" spans="2:8" ht="15.75" thickBot="1" x14ac:dyDescent="0.3">
      <c r="B191" s="34"/>
      <c r="C191" s="35"/>
      <c r="H191" s="128">
        <v>1032</v>
      </c>
    </row>
    <row r="192" spans="2:8" ht="15.75" thickBot="1" x14ac:dyDescent="0.3">
      <c r="B192" s="34"/>
      <c r="C192" s="35"/>
      <c r="H192" s="128">
        <v>4068</v>
      </c>
    </row>
    <row r="193" spans="2:8" ht="15.75" thickBot="1" x14ac:dyDescent="0.3">
      <c r="B193" s="34"/>
      <c r="C193" s="35"/>
      <c r="H193" s="128">
        <v>7290</v>
      </c>
    </row>
    <row r="194" spans="2:8" ht="15.75" thickBot="1" x14ac:dyDescent="0.3">
      <c r="B194" s="34"/>
      <c r="C194" s="35"/>
      <c r="H194" s="128">
        <v>295</v>
      </c>
    </row>
    <row r="195" spans="2:8" ht="15.75" thickBot="1" x14ac:dyDescent="0.3">
      <c r="B195" s="34"/>
      <c r="C195" s="35"/>
      <c r="H195" s="128">
        <v>5592</v>
      </c>
    </row>
    <row r="196" spans="2:8" ht="15.75" thickBot="1" x14ac:dyDescent="0.3">
      <c r="B196" s="34"/>
      <c r="C196" s="35"/>
      <c r="H196" s="128">
        <v>8929</v>
      </c>
    </row>
    <row r="197" spans="2:8" ht="15.75" thickBot="1" x14ac:dyDescent="0.3">
      <c r="B197" s="34"/>
      <c r="C197" s="35"/>
      <c r="H197" s="128">
        <v>8914</v>
      </c>
    </row>
    <row r="198" spans="2:8" ht="15.75" thickBot="1" x14ac:dyDescent="0.3">
      <c r="B198" s="34"/>
      <c r="C198" s="35"/>
      <c r="H198" s="128">
        <v>8533</v>
      </c>
    </row>
    <row r="199" spans="2:8" ht="15.75" thickBot="1" x14ac:dyDescent="0.3">
      <c r="B199" s="34"/>
      <c r="C199" s="35"/>
      <c r="H199" s="128">
        <v>3030</v>
      </c>
    </row>
    <row r="200" spans="2:8" ht="15.75" thickBot="1" x14ac:dyDescent="0.3">
      <c r="B200" s="34"/>
      <c r="C200" s="35"/>
      <c r="H200" s="128">
        <v>499</v>
      </c>
    </row>
    <row r="201" spans="2:8" ht="15.75" thickBot="1" x14ac:dyDescent="0.3">
      <c r="B201" s="34"/>
      <c r="C201" s="35"/>
      <c r="H201" s="128">
        <v>7352</v>
      </c>
    </row>
    <row r="202" spans="2:8" ht="15.75" thickBot="1" x14ac:dyDescent="0.3">
      <c r="B202" s="34"/>
      <c r="C202" s="35"/>
      <c r="H202" s="128">
        <v>2653</v>
      </c>
    </row>
    <row r="203" spans="2:8" ht="15.75" thickBot="1" x14ac:dyDescent="0.3">
      <c r="B203" s="34"/>
      <c r="C203" s="35"/>
      <c r="H203" s="128">
        <v>6041</v>
      </c>
    </row>
    <row r="204" spans="2:8" ht="15.75" thickBot="1" x14ac:dyDescent="0.3">
      <c r="B204" s="34"/>
      <c r="C204" s="35"/>
      <c r="H204" s="128">
        <v>332</v>
      </c>
    </row>
    <row r="205" spans="2:8" ht="15.75" thickBot="1" x14ac:dyDescent="0.3">
      <c r="B205" s="34"/>
      <c r="C205" s="35"/>
      <c r="H205" s="128">
        <v>3436</v>
      </c>
    </row>
    <row r="206" spans="2:8" ht="15.75" thickBot="1" x14ac:dyDescent="0.3">
      <c r="B206" s="34"/>
      <c r="C206" s="35"/>
      <c r="H206" s="128">
        <v>5013</v>
      </c>
    </row>
    <row r="207" spans="2:8" ht="15.75" thickBot="1" x14ac:dyDescent="0.3">
      <c r="B207" s="34"/>
      <c r="C207" s="35"/>
      <c r="H207" s="128">
        <v>8846</v>
      </c>
    </row>
    <row r="208" spans="2:8" ht="15.75" thickBot="1" x14ac:dyDescent="0.3">
      <c r="B208" s="34"/>
      <c r="C208" s="35"/>
      <c r="H208" s="128">
        <v>5979</v>
      </c>
    </row>
    <row r="209" spans="2:8" ht="15.75" thickBot="1" x14ac:dyDescent="0.3">
      <c r="B209" s="34"/>
      <c r="C209" s="35"/>
      <c r="H209" s="128">
        <v>820</v>
      </c>
    </row>
    <row r="210" spans="2:8" ht="15.75" thickBot="1" x14ac:dyDescent="0.3">
      <c r="B210" s="34"/>
      <c r="C210" s="35"/>
      <c r="H210" s="128">
        <v>7198</v>
      </c>
    </row>
    <row r="211" spans="2:8" ht="15.75" thickBot="1" x14ac:dyDescent="0.3">
      <c r="B211" s="34"/>
      <c r="C211" s="35"/>
      <c r="H211" s="128">
        <v>4457</v>
      </c>
    </row>
    <row r="212" spans="2:8" ht="15.75" thickBot="1" x14ac:dyDescent="0.3">
      <c r="B212" s="34"/>
      <c r="C212" s="35"/>
      <c r="H212" s="128">
        <v>6176</v>
      </c>
    </row>
    <row r="213" spans="2:8" ht="15.75" thickBot="1" x14ac:dyDescent="0.3">
      <c r="B213" s="34"/>
      <c r="C213" s="35"/>
      <c r="H213" s="128">
        <v>3786</v>
      </c>
    </row>
    <row r="214" spans="2:8" ht="15.75" thickBot="1" x14ac:dyDescent="0.3">
      <c r="B214" s="34"/>
      <c r="C214" s="35"/>
      <c r="H214" s="128">
        <v>2034</v>
      </c>
    </row>
    <row r="215" spans="2:8" ht="15.75" thickBot="1" x14ac:dyDescent="0.3">
      <c r="B215" s="34"/>
      <c r="C215" s="35"/>
      <c r="H215" s="128">
        <v>970</v>
      </c>
    </row>
    <row r="216" spans="2:8" ht="15.75" thickBot="1" x14ac:dyDescent="0.3">
      <c r="B216" s="34"/>
      <c r="C216" s="35"/>
      <c r="H216" s="128">
        <v>4229</v>
      </c>
    </row>
    <row r="217" spans="2:8" ht="15.75" thickBot="1" x14ac:dyDescent="0.3">
      <c r="B217" s="34"/>
      <c r="C217" s="35"/>
      <c r="H217" s="128">
        <v>1748</v>
      </c>
    </row>
    <row r="218" spans="2:8" ht="15.75" thickBot="1" x14ac:dyDescent="0.3">
      <c r="B218" s="34"/>
      <c r="C218" s="35"/>
      <c r="H218" s="128">
        <v>4188</v>
      </c>
    </row>
    <row r="219" spans="2:8" ht="15.75" thickBot="1" x14ac:dyDescent="0.3">
      <c r="B219" s="34"/>
      <c r="C219" s="35"/>
      <c r="H219" s="128">
        <v>5082</v>
      </c>
    </row>
    <row r="220" spans="2:8" ht="15.75" thickBot="1" x14ac:dyDescent="0.3">
      <c r="B220" s="34"/>
      <c r="C220" s="35"/>
      <c r="H220" s="128">
        <v>6733</v>
      </c>
    </row>
    <row r="221" spans="2:8" ht="15.75" thickBot="1" x14ac:dyDescent="0.3">
      <c r="B221" s="34"/>
      <c r="C221" s="35"/>
      <c r="H221" s="128">
        <v>1919</v>
      </c>
    </row>
    <row r="222" spans="2:8" ht="15.75" thickBot="1" x14ac:dyDescent="0.3">
      <c r="B222" s="34"/>
      <c r="C222" s="35"/>
      <c r="H222" s="128">
        <v>8262</v>
      </c>
    </row>
    <row r="223" spans="2:8" ht="15.75" thickBot="1" x14ac:dyDescent="0.3">
      <c r="B223" s="34"/>
      <c r="C223" s="35"/>
      <c r="H223" s="128">
        <v>6429</v>
      </c>
    </row>
    <row r="224" spans="2:8" ht="15.75" thickBot="1" x14ac:dyDescent="0.3">
      <c r="B224" s="34"/>
      <c r="C224" s="35"/>
      <c r="H224" s="128">
        <v>8671</v>
      </c>
    </row>
    <row r="225" spans="2:8" ht="15.75" thickBot="1" x14ac:dyDescent="0.3">
      <c r="B225" s="34"/>
      <c r="C225" s="35"/>
      <c r="H225" s="128">
        <v>6434</v>
      </c>
    </row>
    <row r="226" spans="2:8" ht="15.75" thickBot="1" x14ac:dyDescent="0.3">
      <c r="B226" s="34"/>
      <c r="C226" s="35"/>
      <c r="H226" s="128">
        <v>8871</v>
      </c>
    </row>
    <row r="227" spans="2:8" ht="15.75" thickBot="1" x14ac:dyDescent="0.3">
      <c r="B227" s="34"/>
      <c r="C227" s="35"/>
      <c r="H227" s="128">
        <v>8574</v>
      </c>
    </row>
    <row r="228" spans="2:8" ht="15.75" thickBot="1" x14ac:dyDescent="0.3">
      <c r="B228" s="34"/>
      <c r="C228" s="35"/>
      <c r="H228" s="128">
        <v>8066</v>
      </c>
    </row>
    <row r="229" spans="2:8" ht="15.75" thickBot="1" x14ac:dyDescent="0.3">
      <c r="B229" s="34"/>
      <c r="C229" s="35"/>
      <c r="H229" s="128">
        <v>6878</v>
      </c>
    </row>
    <row r="230" spans="2:8" ht="15.75" thickBot="1" x14ac:dyDescent="0.3">
      <c r="B230" s="34"/>
      <c r="C230" s="35"/>
      <c r="H230" s="128">
        <v>3214</v>
      </c>
    </row>
    <row r="231" spans="2:8" ht="15.75" thickBot="1" x14ac:dyDescent="0.3">
      <c r="B231" s="34"/>
      <c r="C231" s="35"/>
      <c r="H231" s="128">
        <v>8370</v>
      </c>
    </row>
    <row r="232" spans="2:8" ht="15.75" thickBot="1" x14ac:dyDescent="0.3">
      <c r="B232" s="34"/>
      <c r="C232" s="35"/>
      <c r="H232" s="128">
        <v>5744</v>
      </c>
    </row>
    <row r="233" spans="2:8" ht="15.75" thickBot="1" x14ac:dyDescent="0.3">
      <c r="B233" s="34"/>
      <c r="C233" s="35"/>
      <c r="H233" s="128">
        <v>2068</v>
      </c>
    </row>
    <row r="234" spans="2:8" ht="15.75" thickBot="1" x14ac:dyDescent="0.3">
      <c r="B234" s="34"/>
      <c r="C234" s="35"/>
      <c r="H234" s="128">
        <v>8021</v>
      </c>
    </row>
    <row r="235" spans="2:8" ht="15.75" thickBot="1" x14ac:dyDescent="0.3">
      <c r="B235" s="34"/>
      <c r="C235" s="35"/>
      <c r="H235" s="128">
        <v>6739</v>
      </c>
    </row>
    <row r="236" spans="2:8" ht="15.75" thickBot="1" x14ac:dyDescent="0.3">
      <c r="B236" s="34"/>
      <c r="C236" s="35"/>
      <c r="H236" s="128">
        <v>1476</v>
      </c>
    </row>
    <row r="237" spans="2:8" ht="15.75" thickBot="1" x14ac:dyDescent="0.3">
      <c r="B237" s="34"/>
      <c r="C237" s="35"/>
      <c r="H237" s="128">
        <v>1132</v>
      </c>
    </row>
    <row r="238" spans="2:8" ht="15.75" thickBot="1" x14ac:dyDescent="0.3">
      <c r="B238" s="34"/>
      <c r="C238" s="35"/>
      <c r="H238" s="128">
        <v>8600</v>
      </c>
    </row>
    <row r="239" spans="2:8" ht="15.75" thickBot="1" x14ac:dyDescent="0.3">
      <c r="B239" s="34"/>
      <c r="C239" s="35"/>
      <c r="H239" s="128">
        <v>6834</v>
      </c>
    </row>
    <row r="240" spans="2:8" ht="15.75" thickBot="1" x14ac:dyDescent="0.3">
      <c r="B240" s="34"/>
      <c r="C240" s="35"/>
      <c r="H240" s="128">
        <v>3943</v>
      </c>
    </row>
    <row r="241" spans="2:8" ht="15.75" thickBot="1" x14ac:dyDescent="0.3">
      <c r="B241" s="34"/>
      <c r="C241" s="35"/>
      <c r="H241" s="128">
        <v>4889</v>
      </c>
    </row>
    <row r="242" spans="2:8" ht="15.75" thickBot="1" x14ac:dyDescent="0.3">
      <c r="B242" s="34"/>
      <c r="C242" s="35"/>
      <c r="H242" s="128">
        <v>7527</v>
      </c>
    </row>
    <row r="243" spans="2:8" ht="15.75" thickBot="1" x14ac:dyDescent="0.3">
      <c r="B243" s="34"/>
      <c r="C243" s="35"/>
      <c r="H243" s="128">
        <v>5021</v>
      </c>
    </row>
    <row r="244" spans="2:8" ht="15.75" thickBot="1" x14ac:dyDescent="0.3">
      <c r="B244" s="34"/>
      <c r="C244" s="35"/>
      <c r="H244" s="128">
        <v>7783</v>
      </c>
    </row>
    <row r="245" spans="2:8" ht="15.75" thickBot="1" x14ac:dyDescent="0.3">
      <c r="H245" s="128">
        <v>8576</v>
      </c>
    </row>
    <row r="246" spans="2:8" ht="15.75" thickBot="1" x14ac:dyDescent="0.3">
      <c r="H246" s="128">
        <v>1787</v>
      </c>
    </row>
    <row r="247" spans="2:8" ht="15.75" thickBot="1" x14ac:dyDescent="0.3">
      <c r="H247" s="128">
        <v>5877</v>
      </c>
    </row>
    <row r="248" spans="2:8" ht="15.75" thickBot="1" x14ac:dyDescent="0.3">
      <c r="H248" s="128">
        <v>4118</v>
      </c>
    </row>
    <row r="249" spans="2:8" ht="15.75" thickBot="1" x14ac:dyDescent="0.3">
      <c r="H249" s="128">
        <v>1255</v>
      </c>
    </row>
    <row r="250" spans="2:8" ht="15.75" thickBot="1" x14ac:dyDescent="0.3">
      <c r="H250" s="128">
        <v>5784</v>
      </c>
    </row>
    <row r="251" spans="2:8" ht="15.75" thickBot="1" x14ac:dyDescent="0.3">
      <c r="H251" s="128">
        <v>7203</v>
      </c>
    </row>
    <row r="252" spans="2:8" ht="15.75" thickBot="1" x14ac:dyDescent="0.3">
      <c r="H252" s="128">
        <v>2337</v>
      </c>
    </row>
    <row r="253" spans="2:8" ht="15.75" thickBot="1" x14ac:dyDescent="0.3">
      <c r="H253" s="128">
        <v>4031</v>
      </c>
    </row>
    <row r="254" spans="2:8" ht="15.75" thickBot="1" x14ac:dyDescent="0.3">
      <c r="H254" s="128">
        <v>5792</v>
      </c>
    </row>
    <row r="255" spans="2:8" ht="15.75" thickBot="1" x14ac:dyDescent="0.3">
      <c r="H255" s="128">
        <v>2409</v>
      </c>
    </row>
    <row r="256" spans="2:8" ht="15.75" thickBot="1" x14ac:dyDescent="0.3">
      <c r="H256" s="128">
        <v>3253</v>
      </c>
    </row>
    <row r="257" spans="8:8" ht="15.75" thickBot="1" x14ac:dyDescent="0.3">
      <c r="H257" s="128">
        <v>2646</v>
      </c>
    </row>
    <row r="258" spans="8:8" ht="15.75" thickBot="1" x14ac:dyDescent="0.3">
      <c r="H258" s="128">
        <v>6145</v>
      </c>
    </row>
    <row r="259" spans="8:8" ht="15.75" thickBot="1" x14ac:dyDescent="0.3">
      <c r="H259" s="128">
        <v>5689</v>
      </c>
    </row>
    <row r="260" spans="8:8" ht="15.75" thickBot="1" x14ac:dyDescent="0.3">
      <c r="H260" s="128">
        <v>706</v>
      </c>
    </row>
    <row r="261" spans="8:8" ht="15.75" thickBot="1" x14ac:dyDescent="0.3">
      <c r="H261" s="128">
        <v>5457</v>
      </c>
    </row>
    <row r="262" spans="8:8" ht="15.75" thickBot="1" x14ac:dyDescent="0.3">
      <c r="H262" s="128">
        <v>2271</v>
      </c>
    </row>
    <row r="263" spans="8:8" ht="15.75" thickBot="1" x14ac:dyDescent="0.3">
      <c r="H263" s="128">
        <v>5534</v>
      </c>
    </row>
    <row r="264" spans="8:8" ht="15.75" thickBot="1" x14ac:dyDescent="0.3">
      <c r="H264" s="128">
        <v>849</v>
      </c>
    </row>
    <row r="265" spans="8:8" ht="15.75" thickBot="1" x14ac:dyDescent="0.3">
      <c r="H265" s="128">
        <v>4106</v>
      </c>
    </row>
    <row r="266" spans="8:8" ht="15.75" thickBot="1" x14ac:dyDescent="0.3">
      <c r="H266" s="128">
        <v>7462</v>
      </c>
    </row>
    <row r="267" spans="8:8" ht="15.75" thickBot="1" x14ac:dyDescent="0.3">
      <c r="H267" s="128">
        <v>8108</v>
      </c>
    </row>
    <row r="268" spans="8:8" ht="15.75" thickBot="1" x14ac:dyDescent="0.3">
      <c r="H268" s="128">
        <v>3692</v>
      </c>
    </row>
    <row r="269" spans="8:8" ht="15.75" thickBot="1" x14ac:dyDescent="0.3">
      <c r="H269" s="128">
        <v>8517</v>
      </c>
    </row>
    <row r="270" spans="8:8" ht="15.75" thickBot="1" x14ac:dyDescent="0.3">
      <c r="H270" s="128">
        <v>4530</v>
      </c>
    </row>
    <row r="271" spans="8:8" ht="15.75" thickBot="1" x14ac:dyDescent="0.3">
      <c r="H271" s="128">
        <v>879</v>
      </c>
    </row>
    <row r="272" spans="8:8" ht="15.75" thickBot="1" x14ac:dyDescent="0.3">
      <c r="H272" s="128">
        <v>8128</v>
      </c>
    </row>
    <row r="273" spans="8:8" ht="15.75" thickBot="1" x14ac:dyDescent="0.3">
      <c r="H273" s="128">
        <v>6097</v>
      </c>
    </row>
    <row r="274" spans="8:8" ht="15.75" thickBot="1" x14ac:dyDescent="0.3">
      <c r="H274" s="128">
        <v>6165</v>
      </c>
    </row>
    <row r="275" spans="8:8" ht="15.75" thickBot="1" x14ac:dyDescent="0.3">
      <c r="H275" s="128">
        <v>6012</v>
      </c>
    </row>
    <row r="276" spans="8:8" ht="15.75" thickBot="1" x14ac:dyDescent="0.3">
      <c r="H276" s="128">
        <v>1638</v>
      </c>
    </row>
    <row r="277" spans="8:8" ht="15.75" thickBot="1" x14ac:dyDescent="0.3">
      <c r="H277" s="128">
        <v>4925</v>
      </c>
    </row>
    <row r="278" spans="8:8" ht="15.75" thickBot="1" x14ac:dyDescent="0.3">
      <c r="H278" s="128">
        <v>1457</v>
      </c>
    </row>
    <row r="279" spans="8:8" ht="15.75" thickBot="1" x14ac:dyDescent="0.3">
      <c r="H279" s="128">
        <v>5728</v>
      </c>
    </row>
    <row r="280" spans="8:8" ht="15.75" thickBot="1" x14ac:dyDescent="0.3">
      <c r="H280" s="128">
        <v>3929</v>
      </c>
    </row>
    <row r="281" spans="8:8" ht="15.75" thickBot="1" x14ac:dyDescent="0.3">
      <c r="H281" s="128">
        <v>7567</v>
      </c>
    </row>
    <row r="282" spans="8:8" ht="15.75" thickBot="1" x14ac:dyDescent="0.3">
      <c r="H282" s="128">
        <v>2813</v>
      </c>
    </row>
    <row r="283" spans="8:8" ht="15.75" thickBot="1" x14ac:dyDescent="0.3">
      <c r="H283" s="128">
        <v>225</v>
      </c>
    </row>
    <row r="284" spans="8:8" ht="15.75" thickBot="1" x14ac:dyDescent="0.3">
      <c r="H284" s="128">
        <v>7586</v>
      </c>
    </row>
    <row r="285" spans="8:8" ht="15.75" thickBot="1" x14ac:dyDescent="0.3">
      <c r="H285" s="128">
        <v>1888</v>
      </c>
    </row>
    <row r="286" spans="8:8" ht="15.75" thickBot="1" x14ac:dyDescent="0.3">
      <c r="H286" s="128">
        <v>8812</v>
      </c>
    </row>
    <row r="287" spans="8:8" ht="15.75" thickBot="1" x14ac:dyDescent="0.3">
      <c r="H287" s="128">
        <v>2588</v>
      </c>
    </row>
    <row r="288" spans="8:8" ht="15.75" thickBot="1" x14ac:dyDescent="0.3">
      <c r="H288" s="128">
        <v>3744</v>
      </c>
    </row>
    <row r="289" spans="8:8" ht="15.75" thickBot="1" x14ac:dyDescent="0.3">
      <c r="H289" s="128">
        <v>5135</v>
      </c>
    </row>
    <row r="290" spans="8:8" ht="15.75" thickBot="1" x14ac:dyDescent="0.3">
      <c r="H290" s="128">
        <v>5672</v>
      </c>
    </row>
    <row r="291" spans="8:8" ht="15.75" thickBot="1" x14ac:dyDescent="0.3">
      <c r="H291" s="128">
        <v>8378</v>
      </c>
    </row>
    <row r="292" spans="8:8" ht="15.75" thickBot="1" x14ac:dyDescent="0.3">
      <c r="H292" s="128">
        <v>4302</v>
      </c>
    </row>
    <row r="293" spans="8:8" ht="15.75" thickBot="1" x14ac:dyDescent="0.3">
      <c r="H293" s="128">
        <v>6978</v>
      </c>
    </row>
    <row r="294" spans="8:8" ht="15.75" thickBot="1" x14ac:dyDescent="0.3">
      <c r="H294" s="128">
        <v>2446</v>
      </c>
    </row>
    <row r="295" spans="8:8" ht="15.75" thickBot="1" x14ac:dyDescent="0.3">
      <c r="H295" s="128">
        <v>157</v>
      </c>
    </row>
    <row r="296" spans="8:8" ht="15.75" thickBot="1" x14ac:dyDescent="0.3">
      <c r="H296" s="128">
        <v>5285</v>
      </c>
    </row>
    <row r="297" spans="8:8" ht="15.75" thickBot="1" x14ac:dyDescent="0.3">
      <c r="H297" s="128">
        <v>6268</v>
      </c>
    </row>
    <row r="298" spans="8:8" ht="15.75" thickBot="1" x14ac:dyDescent="0.3">
      <c r="H298" s="128">
        <v>5479</v>
      </c>
    </row>
    <row r="299" spans="8:8" ht="15.75" thickBot="1" x14ac:dyDescent="0.3">
      <c r="H299" s="128">
        <v>8610</v>
      </c>
    </row>
    <row r="300" spans="8:8" ht="15.75" thickBot="1" x14ac:dyDescent="0.3">
      <c r="H300" s="128">
        <v>527</v>
      </c>
    </row>
    <row r="301" spans="8:8" ht="15.75" thickBot="1" x14ac:dyDescent="0.3">
      <c r="H301" s="128">
        <v>2742</v>
      </c>
    </row>
    <row r="302" spans="8:8" ht="15.75" thickBot="1" x14ac:dyDescent="0.3">
      <c r="H302" s="128">
        <v>4473</v>
      </c>
    </row>
    <row r="303" spans="8:8" ht="15.75" thickBot="1" x14ac:dyDescent="0.3">
      <c r="H303" s="128">
        <v>2280</v>
      </c>
    </row>
    <row r="304" spans="8:8" ht="15.75" thickBot="1" x14ac:dyDescent="0.3">
      <c r="H304" s="128">
        <v>6022</v>
      </c>
    </row>
    <row r="305" spans="8:8" ht="15.75" thickBot="1" x14ac:dyDescent="0.3">
      <c r="H305" s="128">
        <v>3948</v>
      </c>
    </row>
    <row r="306" spans="8:8" ht="15.75" thickBot="1" x14ac:dyDescent="0.3">
      <c r="H306" s="128">
        <v>3450</v>
      </c>
    </row>
    <row r="307" spans="8:8" ht="15.75" thickBot="1" x14ac:dyDescent="0.3">
      <c r="H307" s="128">
        <v>3024</v>
      </c>
    </row>
    <row r="308" spans="8:8" ht="15.75" thickBot="1" x14ac:dyDescent="0.3">
      <c r="H308" s="128">
        <v>6586</v>
      </c>
    </row>
    <row r="309" spans="8:8" ht="15.75" thickBot="1" x14ac:dyDescent="0.3">
      <c r="H309" s="128">
        <v>8620</v>
      </c>
    </row>
    <row r="310" spans="8:8" ht="15.75" thickBot="1" x14ac:dyDescent="0.3">
      <c r="H310" s="128">
        <v>5079</v>
      </c>
    </row>
    <row r="311" spans="8:8" ht="15.75" thickBot="1" x14ac:dyDescent="0.3">
      <c r="H311" s="128">
        <v>4132</v>
      </c>
    </row>
    <row r="312" spans="8:8" ht="15.75" thickBot="1" x14ac:dyDescent="0.3">
      <c r="H312" s="128">
        <v>8656</v>
      </c>
    </row>
    <row r="313" spans="8:8" ht="15.75" thickBot="1" x14ac:dyDescent="0.3">
      <c r="H313" s="128">
        <v>5588</v>
      </c>
    </row>
    <row r="314" spans="8:8" ht="15.75" thickBot="1" x14ac:dyDescent="0.3">
      <c r="H314" s="128">
        <v>4125</v>
      </c>
    </row>
    <row r="315" spans="8:8" ht="15.75" thickBot="1" x14ac:dyDescent="0.3">
      <c r="H315" s="128">
        <v>5335</v>
      </c>
    </row>
    <row r="316" spans="8:8" ht="15.75" thickBot="1" x14ac:dyDescent="0.3">
      <c r="H316" s="128">
        <v>556</v>
      </c>
    </row>
    <row r="317" spans="8:8" ht="15.75" thickBot="1" x14ac:dyDescent="0.3">
      <c r="H317" s="128">
        <v>658</v>
      </c>
    </row>
    <row r="318" spans="8:8" ht="15.75" thickBot="1" x14ac:dyDescent="0.3">
      <c r="H318" s="128">
        <v>5808</v>
      </c>
    </row>
    <row r="319" spans="8:8" ht="15.75" thickBot="1" x14ac:dyDescent="0.3">
      <c r="H319" s="128">
        <v>1931</v>
      </c>
    </row>
    <row r="320" spans="8:8" ht="15.75" thickBot="1" x14ac:dyDescent="0.3">
      <c r="H320" s="128">
        <v>1771</v>
      </c>
    </row>
    <row r="321" spans="8:8" ht="15.75" thickBot="1" x14ac:dyDescent="0.3">
      <c r="H321" s="128">
        <v>5969</v>
      </c>
    </row>
    <row r="322" spans="8:8" ht="15.75" thickBot="1" x14ac:dyDescent="0.3">
      <c r="H322" s="128">
        <v>2781</v>
      </c>
    </row>
    <row r="323" spans="8:8" ht="15.75" thickBot="1" x14ac:dyDescent="0.3">
      <c r="H323" s="128">
        <v>6718</v>
      </c>
    </row>
    <row r="324" spans="8:8" ht="15.75" thickBot="1" x14ac:dyDescent="0.3">
      <c r="H324" s="128">
        <v>3866</v>
      </c>
    </row>
    <row r="325" spans="8:8" ht="15.75" thickBot="1" x14ac:dyDescent="0.3">
      <c r="H325" s="128">
        <v>2485</v>
      </c>
    </row>
    <row r="326" spans="8:8" ht="15.75" thickBot="1" x14ac:dyDescent="0.3">
      <c r="H326" s="128">
        <v>3235</v>
      </c>
    </row>
    <row r="327" spans="8:8" ht="15.75" thickBot="1" x14ac:dyDescent="0.3">
      <c r="H327" s="128">
        <v>6952</v>
      </c>
    </row>
    <row r="328" spans="8:8" ht="15.75" thickBot="1" x14ac:dyDescent="0.3">
      <c r="H328" s="128">
        <v>3141</v>
      </c>
    </row>
    <row r="329" spans="8:8" ht="15.75" thickBot="1" x14ac:dyDescent="0.3">
      <c r="H329" s="128">
        <v>3066</v>
      </c>
    </row>
    <row r="330" spans="8:8" ht="15.75" thickBot="1" x14ac:dyDescent="0.3">
      <c r="H330" s="128">
        <v>2000</v>
      </c>
    </row>
    <row r="331" spans="8:8" ht="15.75" thickBot="1" x14ac:dyDescent="0.3">
      <c r="H331" s="128">
        <v>6830</v>
      </c>
    </row>
    <row r="332" spans="8:8" ht="15.75" thickBot="1" x14ac:dyDescent="0.3">
      <c r="H332" s="128">
        <v>7312</v>
      </c>
    </row>
    <row r="333" spans="8:8" ht="15.75" thickBot="1" x14ac:dyDescent="0.3">
      <c r="H333" s="128">
        <v>4474</v>
      </c>
    </row>
    <row r="334" spans="8:8" ht="15.75" thickBot="1" x14ac:dyDescent="0.3">
      <c r="H334" s="128">
        <v>6726</v>
      </c>
    </row>
    <row r="335" spans="8:8" ht="15.75" thickBot="1" x14ac:dyDescent="0.3">
      <c r="H335" s="128">
        <v>4199</v>
      </c>
    </row>
    <row r="336" spans="8:8" ht="15.75" thickBot="1" x14ac:dyDescent="0.3">
      <c r="H336" s="128">
        <v>1386</v>
      </c>
    </row>
    <row r="337" spans="8:8" ht="15.75" thickBot="1" x14ac:dyDescent="0.3">
      <c r="H337" s="128">
        <v>2894</v>
      </c>
    </row>
    <row r="338" spans="8:8" ht="15.75" thickBot="1" x14ac:dyDescent="0.3">
      <c r="H338" s="128">
        <v>6367</v>
      </c>
    </row>
    <row r="339" spans="8:8" ht="15.75" thickBot="1" x14ac:dyDescent="0.3">
      <c r="H339" s="128">
        <v>3822</v>
      </c>
    </row>
    <row r="340" spans="8:8" ht="15.75" thickBot="1" x14ac:dyDescent="0.3">
      <c r="H340" s="128">
        <v>5691</v>
      </c>
    </row>
    <row r="341" spans="8:8" ht="15.75" thickBot="1" x14ac:dyDescent="0.3">
      <c r="H341" s="128">
        <v>2335</v>
      </c>
    </row>
    <row r="342" spans="8:8" ht="15.75" thickBot="1" x14ac:dyDescent="0.3">
      <c r="H342" s="128">
        <v>2504</v>
      </c>
    </row>
    <row r="343" spans="8:8" ht="15.75" thickBot="1" x14ac:dyDescent="0.3">
      <c r="H343" s="128">
        <v>918</v>
      </c>
    </row>
    <row r="344" spans="8:8" ht="15.75" thickBot="1" x14ac:dyDescent="0.3">
      <c r="H344" s="128">
        <v>4755</v>
      </c>
    </row>
    <row r="345" spans="8:8" ht="15.75" thickBot="1" x14ac:dyDescent="0.3">
      <c r="H345" s="128">
        <v>6403</v>
      </c>
    </row>
    <row r="346" spans="8:8" ht="15.75" thickBot="1" x14ac:dyDescent="0.3">
      <c r="H346" s="128">
        <v>4733</v>
      </c>
    </row>
    <row r="347" spans="8:8" ht="15.75" thickBot="1" x14ac:dyDescent="0.3">
      <c r="H347" s="128">
        <v>92</v>
      </c>
    </row>
    <row r="348" spans="8:8" ht="15.75" thickBot="1" x14ac:dyDescent="0.3">
      <c r="H348" s="128">
        <v>5267</v>
      </c>
    </row>
    <row r="349" spans="8:8" ht="15.75" thickBot="1" x14ac:dyDescent="0.3">
      <c r="H349" s="128">
        <v>7594</v>
      </c>
    </row>
    <row r="350" spans="8:8" ht="15.75" thickBot="1" x14ac:dyDescent="0.3">
      <c r="H350" s="128">
        <v>6560</v>
      </c>
    </row>
    <row r="351" spans="8:8" ht="15.75" thickBot="1" x14ac:dyDescent="0.3">
      <c r="H351" s="128">
        <v>1175</v>
      </c>
    </row>
    <row r="352" spans="8:8" ht="15.75" thickBot="1" x14ac:dyDescent="0.3">
      <c r="H352" s="128">
        <v>6332</v>
      </c>
    </row>
    <row r="353" spans="8:8" ht="15.75" thickBot="1" x14ac:dyDescent="0.3">
      <c r="H353" s="128">
        <v>3483</v>
      </c>
    </row>
    <row r="354" spans="8:8" ht="15.75" thickBot="1" x14ac:dyDescent="0.3">
      <c r="H354" s="128">
        <v>7234</v>
      </c>
    </row>
    <row r="355" spans="8:8" ht="15.75" thickBot="1" x14ac:dyDescent="0.3">
      <c r="H355" s="128">
        <v>1417</v>
      </c>
    </row>
    <row r="356" spans="8:8" ht="15.75" thickBot="1" x14ac:dyDescent="0.3">
      <c r="H356" s="128">
        <v>6396</v>
      </c>
    </row>
    <row r="357" spans="8:8" ht="15.75" thickBot="1" x14ac:dyDescent="0.3">
      <c r="H357" s="128">
        <v>1130</v>
      </c>
    </row>
    <row r="358" spans="8:8" ht="15.75" thickBot="1" x14ac:dyDescent="0.3">
      <c r="H358" s="128">
        <v>914</v>
      </c>
    </row>
    <row r="359" spans="8:8" ht="15.75" thickBot="1" x14ac:dyDescent="0.3">
      <c r="H359" s="128">
        <v>3785</v>
      </c>
    </row>
    <row r="360" spans="8:8" ht="15.75" thickBot="1" x14ac:dyDescent="0.3">
      <c r="H360" s="128">
        <v>7012</v>
      </c>
    </row>
    <row r="361" spans="8:8" ht="15.75" thickBot="1" x14ac:dyDescent="0.3">
      <c r="H361" s="128">
        <v>6023</v>
      </c>
    </row>
    <row r="362" spans="8:8" ht="15.75" thickBot="1" x14ac:dyDescent="0.3">
      <c r="H362" s="128">
        <v>780</v>
      </c>
    </row>
    <row r="363" spans="8:8" ht="15.75" thickBot="1" x14ac:dyDescent="0.3">
      <c r="H363" s="128">
        <v>2126</v>
      </c>
    </row>
    <row r="364" spans="8:8" ht="15.75" thickBot="1" x14ac:dyDescent="0.3">
      <c r="H364" s="128">
        <v>7283</v>
      </c>
    </row>
    <row r="365" spans="8:8" ht="15.75" thickBot="1" x14ac:dyDescent="0.3">
      <c r="H365" s="128">
        <v>512</v>
      </c>
    </row>
    <row r="366" spans="8:8" ht="15.75" thickBot="1" x14ac:dyDescent="0.3">
      <c r="H366" s="128">
        <v>1358</v>
      </c>
    </row>
    <row r="367" spans="8:8" ht="15.75" thickBot="1" x14ac:dyDescent="0.3">
      <c r="H367" s="128">
        <v>2196</v>
      </c>
    </row>
    <row r="368" spans="8:8" ht="15.75" thickBot="1" x14ac:dyDescent="0.3">
      <c r="H368" s="128">
        <v>4455</v>
      </c>
    </row>
    <row r="369" spans="8:8" ht="15.75" thickBot="1" x14ac:dyDescent="0.3">
      <c r="H369" s="128">
        <v>3690</v>
      </c>
    </row>
    <row r="370" spans="8:8" ht="15.75" thickBot="1" x14ac:dyDescent="0.3">
      <c r="H370" s="128">
        <v>4481</v>
      </c>
    </row>
    <row r="371" spans="8:8" ht="15.75" thickBot="1" x14ac:dyDescent="0.3">
      <c r="H371" s="128">
        <v>791</v>
      </c>
    </row>
    <row r="372" spans="8:8" ht="15.75" thickBot="1" x14ac:dyDescent="0.3">
      <c r="H372" s="128">
        <v>7111</v>
      </c>
    </row>
    <row r="373" spans="8:8" ht="15.75" thickBot="1" x14ac:dyDescent="0.3">
      <c r="H373" s="128">
        <v>342</v>
      </c>
    </row>
    <row r="374" spans="8:8" ht="15.75" thickBot="1" x14ac:dyDescent="0.3">
      <c r="H374" s="128">
        <v>1945</v>
      </c>
    </row>
    <row r="375" spans="8:8" ht="15.75" thickBot="1" x14ac:dyDescent="0.3">
      <c r="H375" s="128">
        <v>1889</v>
      </c>
    </row>
    <row r="376" spans="8:8" ht="15.75" thickBot="1" x14ac:dyDescent="0.3">
      <c r="H376" s="128">
        <v>1642</v>
      </c>
    </row>
    <row r="377" spans="8:8" ht="15.75" thickBot="1" x14ac:dyDescent="0.3">
      <c r="H377" s="128">
        <v>4085</v>
      </c>
    </row>
    <row r="378" spans="8:8" ht="15.75" thickBot="1" x14ac:dyDescent="0.3">
      <c r="H378" s="128">
        <v>8830</v>
      </c>
    </row>
    <row r="379" spans="8:8" ht="15.75" thickBot="1" x14ac:dyDescent="0.3">
      <c r="H379" s="128">
        <v>4206</v>
      </c>
    </row>
    <row r="380" spans="8:8" ht="15.75" thickBot="1" x14ac:dyDescent="0.3">
      <c r="H380" s="128">
        <v>1139</v>
      </c>
    </row>
    <row r="381" spans="8:8" ht="15.75" thickBot="1" x14ac:dyDescent="0.3">
      <c r="H381" s="128">
        <v>6023</v>
      </c>
    </row>
    <row r="382" spans="8:8" ht="15.75" thickBot="1" x14ac:dyDescent="0.3">
      <c r="H382" s="128">
        <v>4265</v>
      </c>
    </row>
    <row r="383" spans="8:8" ht="15.75" thickBot="1" x14ac:dyDescent="0.3">
      <c r="H383" s="128">
        <v>250</v>
      </c>
    </row>
    <row r="384" spans="8:8" ht="15.75" thickBot="1" x14ac:dyDescent="0.3">
      <c r="H384" s="128">
        <v>619</v>
      </c>
    </row>
    <row r="385" spans="8:8" ht="15.75" thickBot="1" x14ac:dyDescent="0.3">
      <c r="H385" s="128">
        <v>8365</v>
      </c>
    </row>
    <row r="386" spans="8:8" ht="15.75" thickBot="1" x14ac:dyDescent="0.3">
      <c r="H386" s="128">
        <v>963</v>
      </c>
    </row>
    <row r="387" spans="8:8" ht="15.75" thickBot="1" x14ac:dyDescent="0.3">
      <c r="H387" s="128">
        <v>5996</v>
      </c>
    </row>
    <row r="388" spans="8:8" ht="15.75" thickBot="1" x14ac:dyDescent="0.3">
      <c r="H388" s="128">
        <v>1191</v>
      </c>
    </row>
    <row r="389" spans="8:8" ht="15.75" thickBot="1" x14ac:dyDescent="0.3">
      <c r="H389" s="128">
        <v>8414</v>
      </c>
    </row>
    <row r="390" spans="8:8" ht="15.75" thickBot="1" x14ac:dyDescent="0.3">
      <c r="H390" s="128">
        <v>8762</v>
      </c>
    </row>
    <row r="391" spans="8:8" ht="15.75" thickBot="1" x14ac:dyDescent="0.3">
      <c r="H391" s="128">
        <v>8642</v>
      </c>
    </row>
    <row r="392" spans="8:8" ht="15.75" thickBot="1" x14ac:dyDescent="0.3">
      <c r="H392" s="128">
        <v>8425</v>
      </c>
    </row>
    <row r="393" spans="8:8" ht="15.75" thickBot="1" x14ac:dyDescent="0.3">
      <c r="H393" s="128">
        <v>1549</v>
      </c>
    </row>
    <row r="394" spans="8:8" ht="15.75" thickBot="1" x14ac:dyDescent="0.3">
      <c r="H394" s="128">
        <v>7050</v>
      </c>
    </row>
    <row r="395" spans="8:8" ht="15.75" thickBot="1" x14ac:dyDescent="0.3">
      <c r="H395" s="128">
        <v>8602</v>
      </c>
    </row>
    <row r="396" spans="8:8" ht="15.75" thickBot="1" x14ac:dyDescent="0.3">
      <c r="H396" s="128">
        <v>3258</v>
      </c>
    </row>
    <row r="397" spans="8:8" ht="15.75" thickBot="1" x14ac:dyDescent="0.3">
      <c r="H397" s="128">
        <v>5811</v>
      </c>
    </row>
    <row r="398" spans="8:8" ht="15.75" thickBot="1" x14ac:dyDescent="0.3">
      <c r="H398" s="128">
        <v>3127</v>
      </c>
    </row>
    <row r="399" spans="8:8" ht="15.75" thickBot="1" x14ac:dyDescent="0.3">
      <c r="H399" s="128">
        <v>7738</v>
      </c>
    </row>
    <row r="400" spans="8:8" ht="15.75" thickBot="1" x14ac:dyDescent="0.3">
      <c r="H400" s="128">
        <v>1075</v>
      </c>
    </row>
    <row r="401" spans="8:8" ht="15.75" thickBot="1" x14ac:dyDescent="0.3">
      <c r="H401" s="128">
        <v>8056</v>
      </c>
    </row>
    <row r="402" spans="8:8" ht="15.75" thickBot="1" x14ac:dyDescent="0.3">
      <c r="H402" s="128">
        <v>552</v>
      </c>
    </row>
    <row r="403" spans="8:8" ht="15.75" thickBot="1" x14ac:dyDescent="0.3">
      <c r="H403" s="128">
        <v>5008</v>
      </c>
    </row>
    <row r="404" spans="8:8" ht="15.75" thickBot="1" x14ac:dyDescent="0.3">
      <c r="H404" s="128">
        <v>7294</v>
      </c>
    </row>
    <row r="405" spans="8:8" ht="15.75" thickBot="1" x14ac:dyDescent="0.3">
      <c r="H405" s="128">
        <v>37</v>
      </c>
    </row>
    <row r="406" spans="8:8" ht="15.75" thickBot="1" x14ac:dyDescent="0.3">
      <c r="H406" s="128">
        <v>6203</v>
      </c>
    </row>
    <row r="407" spans="8:8" ht="15.75" thickBot="1" x14ac:dyDescent="0.3">
      <c r="H407" s="128">
        <v>6370</v>
      </c>
    </row>
    <row r="408" spans="8:8" ht="15.75" thickBot="1" x14ac:dyDescent="0.3">
      <c r="H408" s="128">
        <v>4930</v>
      </c>
    </row>
    <row r="409" spans="8:8" ht="15.75" thickBot="1" x14ac:dyDescent="0.3">
      <c r="H409" s="128">
        <v>6162</v>
      </c>
    </row>
    <row r="410" spans="8:8" ht="15.75" thickBot="1" x14ac:dyDescent="0.3">
      <c r="H410" s="128">
        <v>4786</v>
      </c>
    </row>
    <row r="411" spans="8:8" ht="15.75" thickBot="1" x14ac:dyDescent="0.3">
      <c r="H411" s="128">
        <v>2427</v>
      </c>
    </row>
    <row r="412" spans="8:8" ht="15.75" thickBot="1" x14ac:dyDescent="0.3">
      <c r="H412" s="128">
        <v>703</v>
      </c>
    </row>
    <row r="413" spans="8:8" ht="15.75" thickBot="1" x14ac:dyDescent="0.3">
      <c r="H413" s="128">
        <v>7187</v>
      </c>
    </row>
    <row r="414" spans="8:8" ht="15.75" thickBot="1" x14ac:dyDescent="0.3">
      <c r="H414" s="128">
        <v>4553</v>
      </c>
    </row>
    <row r="415" spans="8:8" ht="15.75" thickBot="1" x14ac:dyDescent="0.3">
      <c r="H415" s="128">
        <v>8889</v>
      </c>
    </row>
    <row r="416" spans="8:8" ht="15.75" thickBot="1" x14ac:dyDescent="0.3">
      <c r="H416" s="128">
        <v>120</v>
      </c>
    </row>
    <row r="417" spans="8:8" ht="15.75" thickBot="1" x14ac:dyDescent="0.3">
      <c r="H417" s="128">
        <v>729</v>
      </c>
    </row>
    <row r="418" spans="8:8" ht="15.75" thickBot="1" x14ac:dyDescent="0.3">
      <c r="H418" s="128">
        <v>8519</v>
      </c>
    </row>
    <row r="419" spans="8:8" ht="15.75" thickBot="1" x14ac:dyDescent="0.3">
      <c r="H419" s="128">
        <v>2259</v>
      </c>
    </row>
    <row r="420" spans="8:8" ht="15.75" thickBot="1" x14ac:dyDescent="0.3">
      <c r="H420" s="128">
        <v>1034</v>
      </c>
    </row>
    <row r="421" spans="8:8" ht="15.75" thickBot="1" x14ac:dyDescent="0.3">
      <c r="H421" s="128">
        <v>825</v>
      </c>
    </row>
    <row r="422" spans="8:8" ht="15.75" thickBot="1" x14ac:dyDescent="0.3">
      <c r="H422" s="128">
        <v>5090</v>
      </c>
    </row>
    <row r="423" spans="8:8" ht="15.75" thickBot="1" x14ac:dyDescent="0.3">
      <c r="H423" s="128">
        <v>4978</v>
      </c>
    </row>
    <row r="424" spans="8:8" ht="15.75" thickBot="1" x14ac:dyDescent="0.3">
      <c r="H424" s="128">
        <v>1977</v>
      </c>
    </row>
    <row r="425" spans="8:8" ht="15.75" thickBot="1" x14ac:dyDescent="0.3">
      <c r="H425" s="128">
        <v>1537</v>
      </c>
    </row>
    <row r="426" spans="8:8" ht="15.75" thickBot="1" x14ac:dyDescent="0.3">
      <c r="H426" s="128">
        <v>1844</v>
      </c>
    </row>
    <row r="427" spans="8:8" ht="15.75" thickBot="1" x14ac:dyDescent="0.3">
      <c r="H427" s="128">
        <v>3398</v>
      </c>
    </row>
    <row r="428" spans="8:8" ht="15.75" thickBot="1" x14ac:dyDescent="0.3">
      <c r="H428" s="128">
        <v>4482</v>
      </c>
    </row>
    <row r="429" spans="8:8" ht="15.75" thickBot="1" x14ac:dyDescent="0.3">
      <c r="H429" s="128">
        <v>1633</v>
      </c>
    </row>
    <row r="430" spans="8:8" ht="15.75" thickBot="1" x14ac:dyDescent="0.3">
      <c r="H430" s="128">
        <v>5821</v>
      </c>
    </row>
    <row r="431" spans="8:8" ht="15.75" thickBot="1" x14ac:dyDescent="0.3">
      <c r="H431" s="128">
        <v>5141</v>
      </c>
    </row>
    <row r="432" spans="8:8" ht="15.75" thickBot="1" x14ac:dyDescent="0.3">
      <c r="H432" s="128">
        <v>3660</v>
      </c>
    </row>
    <row r="433" spans="8:8" ht="15.75" thickBot="1" x14ac:dyDescent="0.3">
      <c r="H433" s="128">
        <v>1003</v>
      </c>
    </row>
    <row r="434" spans="8:8" ht="15.75" thickBot="1" x14ac:dyDescent="0.3">
      <c r="H434" s="128">
        <v>5960</v>
      </c>
    </row>
    <row r="435" spans="8:8" ht="15.75" thickBot="1" x14ac:dyDescent="0.3">
      <c r="H435" s="128">
        <v>7376</v>
      </c>
    </row>
    <row r="436" spans="8:8" ht="15.75" thickBot="1" x14ac:dyDescent="0.3">
      <c r="H436" s="128">
        <v>7372</v>
      </c>
    </row>
    <row r="437" spans="8:8" ht="15.75" thickBot="1" x14ac:dyDescent="0.3">
      <c r="H437" s="128">
        <v>1365</v>
      </c>
    </row>
    <row r="438" spans="8:8" ht="15.75" thickBot="1" x14ac:dyDescent="0.3">
      <c r="H438" s="128">
        <v>32</v>
      </c>
    </row>
    <row r="439" spans="8:8" ht="15.75" thickBot="1" x14ac:dyDescent="0.3">
      <c r="H439" s="128">
        <v>5690</v>
      </c>
    </row>
    <row r="440" spans="8:8" ht="15.75" thickBot="1" x14ac:dyDescent="0.3">
      <c r="H440" s="128">
        <v>2406</v>
      </c>
    </row>
    <row r="441" spans="8:8" ht="15.75" thickBot="1" x14ac:dyDescent="0.3">
      <c r="H441" s="128">
        <v>6917</v>
      </c>
    </row>
    <row r="442" spans="8:8" ht="15.75" thickBot="1" x14ac:dyDescent="0.3">
      <c r="H442" s="128">
        <v>6751</v>
      </c>
    </row>
    <row r="443" spans="8:8" ht="15.75" thickBot="1" x14ac:dyDescent="0.3">
      <c r="H443" s="128">
        <v>8683</v>
      </c>
    </row>
    <row r="444" spans="8:8" ht="15.75" thickBot="1" x14ac:dyDescent="0.3">
      <c r="H444" s="128">
        <v>5159</v>
      </c>
    </row>
    <row r="445" spans="8:8" ht="15.75" thickBot="1" x14ac:dyDescent="0.3">
      <c r="H445" s="128">
        <v>3783</v>
      </c>
    </row>
    <row r="446" spans="8:8" ht="15.75" thickBot="1" x14ac:dyDescent="0.3">
      <c r="H446" s="128">
        <v>6060</v>
      </c>
    </row>
    <row r="447" spans="8:8" ht="15.75" thickBot="1" x14ac:dyDescent="0.3">
      <c r="H447" s="128">
        <v>2033</v>
      </c>
    </row>
    <row r="448" spans="8:8" ht="15.75" thickBot="1" x14ac:dyDescent="0.3">
      <c r="H448" s="128">
        <v>1616</v>
      </c>
    </row>
    <row r="449" spans="8:8" ht="15.75" thickBot="1" x14ac:dyDescent="0.3">
      <c r="H449" s="128">
        <v>2195</v>
      </c>
    </row>
    <row r="450" spans="8:8" ht="15.75" thickBot="1" x14ac:dyDescent="0.3">
      <c r="H450" s="128">
        <v>8687</v>
      </c>
    </row>
    <row r="451" spans="8:8" ht="15.75" thickBot="1" x14ac:dyDescent="0.3">
      <c r="H451" s="128">
        <v>543</v>
      </c>
    </row>
    <row r="452" spans="8:8" ht="15.75" thickBot="1" x14ac:dyDescent="0.3">
      <c r="H452" s="128">
        <v>8108</v>
      </c>
    </row>
    <row r="453" spans="8:8" ht="15.75" thickBot="1" x14ac:dyDescent="0.3">
      <c r="H453" s="128">
        <v>7328</v>
      </c>
    </row>
    <row r="454" spans="8:8" ht="15.75" thickBot="1" x14ac:dyDescent="0.3">
      <c r="H454" s="128">
        <v>7521</v>
      </c>
    </row>
    <row r="455" spans="8:8" ht="15.75" thickBot="1" x14ac:dyDescent="0.3">
      <c r="H455" s="128">
        <v>369</v>
      </c>
    </row>
    <row r="456" spans="8:8" ht="15.75" thickBot="1" x14ac:dyDescent="0.3">
      <c r="H456" s="128">
        <v>3777</v>
      </c>
    </row>
    <row r="457" spans="8:8" ht="15.75" thickBot="1" x14ac:dyDescent="0.3">
      <c r="H457" s="128">
        <v>3645</v>
      </c>
    </row>
    <row r="458" spans="8:8" ht="15.75" thickBot="1" x14ac:dyDescent="0.3">
      <c r="H458" s="128">
        <v>2142</v>
      </c>
    </row>
    <row r="459" spans="8:8" ht="15.75" thickBot="1" x14ac:dyDescent="0.3">
      <c r="H459" s="128">
        <v>7864</v>
      </c>
    </row>
    <row r="460" spans="8:8" ht="15.75" thickBot="1" x14ac:dyDescent="0.3">
      <c r="H460" s="128">
        <v>7273</v>
      </c>
    </row>
    <row r="461" spans="8:8" ht="15.75" thickBot="1" x14ac:dyDescent="0.3">
      <c r="H461" s="128">
        <v>2231</v>
      </c>
    </row>
    <row r="462" spans="8:8" ht="15.75" thickBot="1" x14ac:dyDescent="0.3">
      <c r="H462" s="128">
        <v>2929</v>
      </c>
    </row>
    <row r="463" spans="8:8" ht="15.75" thickBot="1" x14ac:dyDescent="0.3">
      <c r="H463" s="128">
        <v>1058</v>
      </c>
    </row>
    <row r="464" spans="8:8" ht="15.75" thickBot="1" x14ac:dyDescent="0.3">
      <c r="H464" s="128">
        <v>3323</v>
      </c>
    </row>
    <row r="465" spans="8:8" ht="15.75" thickBot="1" x14ac:dyDescent="0.3">
      <c r="H465" s="128">
        <v>8253</v>
      </c>
    </row>
    <row r="466" spans="8:8" ht="15.75" thickBot="1" x14ac:dyDescent="0.3">
      <c r="H466" s="128">
        <v>5214</v>
      </c>
    </row>
    <row r="467" spans="8:8" ht="15.75" thickBot="1" x14ac:dyDescent="0.3">
      <c r="H467" s="128">
        <v>1998</v>
      </c>
    </row>
    <row r="468" spans="8:8" ht="15.75" thickBot="1" x14ac:dyDescent="0.3">
      <c r="H468" s="128">
        <v>5798</v>
      </c>
    </row>
    <row r="469" spans="8:8" ht="15.75" thickBot="1" x14ac:dyDescent="0.3">
      <c r="H469" s="128">
        <v>980</v>
      </c>
    </row>
    <row r="470" spans="8:8" ht="15.75" thickBot="1" x14ac:dyDescent="0.3">
      <c r="H470" s="128">
        <v>259</v>
      </c>
    </row>
    <row r="471" spans="8:8" ht="15.75" thickBot="1" x14ac:dyDescent="0.3">
      <c r="H471" s="128">
        <v>3104</v>
      </c>
    </row>
    <row r="472" spans="8:8" ht="15.75" thickBot="1" x14ac:dyDescent="0.3">
      <c r="H472" s="128">
        <v>1020</v>
      </c>
    </row>
    <row r="473" spans="8:8" ht="15.75" thickBot="1" x14ac:dyDescent="0.3">
      <c r="H473" s="128">
        <v>8241</v>
      </c>
    </row>
    <row r="474" spans="8:8" ht="15.75" thickBot="1" x14ac:dyDescent="0.3">
      <c r="H474" s="128">
        <v>1804</v>
      </c>
    </row>
    <row r="475" spans="8:8" ht="15.75" thickBot="1" x14ac:dyDescent="0.3">
      <c r="H475" s="128">
        <v>8608</v>
      </c>
    </row>
    <row r="476" spans="8:8" ht="15.75" thickBot="1" x14ac:dyDescent="0.3">
      <c r="H476" s="128">
        <v>6907</v>
      </c>
    </row>
    <row r="477" spans="8:8" ht="15.75" thickBot="1" x14ac:dyDescent="0.3">
      <c r="H477" s="128">
        <v>1715</v>
      </c>
    </row>
    <row r="478" spans="8:8" ht="15.75" thickBot="1" x14ac:dyDescent="0.3">
      <c r="H478" s="128">
        <v>6756</v>
      </c>
    </row>
    <row r="479" spans="8:8" ht="15.75" thickBot="1" x14ac:dyDescent="0.3">
      <c r="H479" s="128">
        <v>543</v>
      </c>
    </row>
    <row r="480" spans="8:8" ht="15.75" thickBot="1" x14ac:dyDescent="0.3">
      <c r="H480" s="128">
        <v>4834</v>
      </c>
    </row>
    <row r="481" spans="8:8" ht="15.75" thickBot="1" x14ac:dyDescent="0.3">
      <c r="H481" s="128">
        <v>5917</v>
      </c>
    </row>
    <row r="482" spans="8:8" ht="15.75" thickBot="1" x14ac:dyDescent="0.3">
      <c r="H482" s="128">
        <v>6736</v>
      </c>
    </row>
    <row r="483" spans="8:8" ht="15.75" thickBot="1" x14ac:dyDescent="0.3">
      <c r="H483" s="128">
        <v>1761</v>
      </c>
    </row>
    <row r="484" spans="8:8" ht="15.75" thickBot="1" x14ac:dyDescent="0.3">
      <c r="H484" s="128">
        <v>3105</v>
      </c>
    </row>
    <row r="485" spans="8:8" ht="15.75" thickBot="1" x14ac:dyDescent="0.3">
      <c r="H485" s="128">
        <v>1668</v>
      </c>
    </row>
    <row r="486" spans="8:8" ht="15.75" thickBot="1" x14ac:dyDescent="0.3">
      <c r="H486" s="128">
        <v>3704</v>
      </c>
    </row>
    <row r="487" spans="8:8" ht="15.75" thickBot="1" x14ac:dyDescent="0.3">
      <c r="H487" s="128">
        <v>2203</v>
      </c>
    </row>
    <row r="488" spans="8:8" ht="15.75" thickBot="1" x14ac:dyDescent="0.3">
      <c r="H488" s="128">
        <v>5967</v>
      </c>
    </row>
    <row r="489" spans="8:8" ht="15.75" thickBot="1" x14ac:dyDescent="0.3">
      <c r="H489" s="128">
        <v>5110</v>
      </c>
    </row>
    <row r="490" spans="8:8" ht="15.75" thickBot="1" x14ac:dyDescent="0.3">
      <c r="H490" s="128">
        <v>6640</v>
      </c>
    </row>
    <row r="491" spans="8:8" ht="15.75" thickBot="1" x14ac:dyDescent="0.3">
      <c r="H491" s="128">
        <v>8313</v>
      </c>
    </row>
    <row r="492" spans="8:8" ht="15.75" thickBot="1" x14ac:dyDescent="0.3">
      <c r="H492" s="128">
        <v>422</v>
      </c>
    </row>
    <row r="493" spans="8:8" ht="15.75" thickBot="1" x14ac:dyDescent="0.3">
      <c r="H493" s="128">
        <v>5287</v>
      </c>
    </row>
    <row r="494" spans="8:8" ht="15.75" thickBot="1" x14ac:dyDescent="0.3">
      <c r="H494" s="128">
        <v>328</v>
      </c>
    </row>
    <row r="495" spans="8:8" ht="15.75" thickBot="1" x14ac:dyDescent="0.3">
      <c r="H495" s="128">
        <v>6496</v>
      </c>
    </row>
    <row r="496" spans="8:8" ht="15.75" thickBot="1" x14ac:dyDescent="0.3">
      <c r="H496" s="128">
        <v>8333</v>
      </c>
    </row>
    <row r="497" spans="8:8" ht="15.75" thickBot="1" x14ac:dyDescent="0.3">
      <c r="H497" s="128">
        <v>4463</v>
      </c>
    </row>
    <row r="498" spans="8:8" ht="15.75" thickBot="1" x14ac:dyDescent="0.3">
      <c r="H498" s="128">
        <v>497</v>
      </c>
    </row>
    <row r="499" spans="8:8" ht="15.75" thickBot="1" x14ac:dyDescent="0.3">
      <c r="H499" s="128">
        <v>5899</v>
      </c>
    </row>
    <row r="500" spans="8:8" ht="15.75" thickBot="1" x14ac:dyDescent="0.3">
      <c r="H500" s="128">
        <v>2869</v>
      </c>
    </row>
    <row r="501" spans="8:8" ht="15.75" thickBot="1" x14ac:dyDescent="0.3">
      <c r="H501" s="128">
        <v>5053</v>
      </c>
    </row>
    <row r="502" spans="8:8" ht="15.75" thickBot="1" x14ac:dyDescent="0.3">
      <c r="H502" s="128">
        <v>8971</v>
      </c>
    </row>
    <row r="503" spans="8:8" ht="15.75" thickBot="1" x14ac:dyDescent="0.3">
      <c r="H503" s="128">
        <v>6826</v>
      </c>
    </row>
    <row r="504" spans="8:8" ht="15.75" thickBot="1" x14ac:dyDescent="0.3">
      <c r="H504" s="128">
        <v>8211</v>
      </c>
    </row>
    <row r="505" spans="8:8" ht="15.75" thickBot="1" x14ac:dyDescent="0.3">
      <c r="H505" s="128">
        <v>8762</v>
      </c>
    </row>
    <row r="506" spans="8:8" ht="15.75" thickBot="1" x14ac:dyDescent="0.3">
      <c r="H506" s="128">
        <v>3536</v>
      </c>
    </row>
    <row r="507" spans="8:8" ht="15.75" thickBot="1" x14ac:dyDescent="0.3">
      <c r="H507" s="128">
        <v>5123</v>
      </c>
    </row>
    <row r="508" spans="8:8" ht="15.75" thickBot="1" x14ac:dyDescent="0.3">
      <c r="H508" s="128">
        <v>2228</v>
      </c>
    </row>
    <row r="509" spans="8:8" ht="15.75" thickBot="1" x14ac:dyDescent="0.3">
      <c r="H509" s="128">
        <v>2850</v>
      </c>
    </row>
    <row r="510" spans="8:8" ht="15.75" thickBot="1" x14ac:dyDescent="0.3">
      <c r="H510" s="128">
        <v>4099</v>
      </c>
    </row>
    <row r="511" spans="8:8" ht="15.75" thickBot="1" x14ac:dyDescent="0.3">
      <c r="H511" s="128">
        <v>1137</v>
      </c>
    </row>
    <row r="512" spans="8:8" ht="15.75" thickBot="1" x14ac:dyDescent="0.3">
      <c r="H512" s="128">
        <v>602</v>
      </c>
    </row>
    <row r="513" spans="8:8" ht="15.75" thickBot="1" x14ac:dyDescent="0.3">
      <c r="H513" s="128">
        <v>4364</v>
      </c>
    </row>
    <row r="514" spans="8:8" ht="15.75" thickBot="1" x14ac:dyDescent="0.3">
      <c r="H514" s="128">
        <v>3556</v>
      </c>
    </row>
    <row r="515" spans="8:8" ht="15.75" thickBot="1" x14ac:dyDescent="0.3">
      <c r="H515" s="128">
        <v>2460</v>
      </c>
    </row>
    <row r="516" spans="8:8" ht="15.75" thickBot="1" x14ac:dyDescent="0.3">
      <c r="H516" s="128">
        <v>4311</v>
      </c>
    </row>
    <row r="517" spans="8:8" ht="15.75" thickBot="1" x14ac:dyDescent="0.3">
      <c r="H517" s="128">
        <v>5349</v>
      </c>
    </row>
    <row r="518" spans="8:8" ht="15.75" thickBot="1" x14ac:dyDescent="0.3">
      <c r="H518" s="128">
        <v>7811</v>
      </c>
    </row>
    <row r="519" spans="8:8" ht="15.75" thickBot="1" x14ac:dyDescent="0.3">
      <c r="H519" s="128">
        <v>843</v>
      </c>
    </row>
    <row r="520" spans="8:8" ht="15.75" thickBot="1" x14ac:dyDescent="0.3">
      <c r="H520" s="128">
        <v>8646</v>
      </c>
    </row>
    <row r="521" spans="8:8" ht="15.75" thickBot="1" x14ac:dyDescent="0.3">
      <c r="H521" s="128">
        <v>8408</v>
      </c>
    </row>
    <row r="522" spans="8:8" ht="15.75" thickBot="1" x14ac:dyDescent="0.3">
      <c r="H522" s="128">
        <v>437</v>
      </c>
    </row>
    <row r="523" spans="8:8" ht="15.75" thickBot="1" x14ac:dyDescent="0.3">
      <c r="H523" s="128">
        <v>6031</v>
      </c>
    </row>
    <row r="524" spans="8:8" ht="15.75" thickBot="1" x14ac:dyDescent="0.3">
      <c r="H524" s="128">
        <v>8394</v>
      </c>
    </row>
    <row r="525" spans="8:8" ht="15.75" thickBot="1" x14ac:dyDescent="0.3">
      <c r="H525" s="128">
        <v>8768</v>
      </c>
    </row>
    <row r="526" spans="8:8" ht="15.75" thickBot="1" x14ac:dyDescent="0.3">
      <c r="H526" s="128">
        <v>6726</v>
      </c>
    </row>
    <row r="527" spans="8:8" ht="15.75" thickBot="1" x14ac:dyDescent="0.3">
      <c r="H527" s="128">
        <v>8488</v>
      </c>
    </row>
    <row r="528" spans="8:8" ht="15.75" thickBot="1" x14ac:dyDescent="0.3">
      <c r="H528" s="128">
        <v>6593</v>
      </c>
    </row>
    <row r="529" spans="8:8" ht="15.75" thickBot="1" x14ac:dyDescent="0.3">
      <c r="H529" s="128">
        <v>8760</v>
      </c>
    </row>
    <row r="530" spans="8:8" ht="15.75" thickBot="1" x14ac:dyDescent="0.3">
      <c r="H530" s="128">
        <v>4565</v>
      </c>
    </row>
    <row r="531" spans="8:8" ht="15.75" thickBot="1" x14ac:dyDescent="0.3">
      <c r="H531" s="128">
        <v>4154</v>
      </c>
    </row>
    <row r="532" spans="8:8" ht="15.75" thickBot="1" x14ac:dyDescent="0.3">
      <c r="H532" s="128">
        <v>8411</v>
      </c>
    </row>
    <row r="533" spans="8:8" ht="15.75" thickBot="1" x14ac:dyDescent="0.3">
      <c r="H533" s="128">
        <v>2957</v>
      </c>
    </row>
    <row r="534" spans="8:8" ht="15.75" thickBot="1" x14ac:dyDescent="0.3">
      <c r="H534" s="128">
        <v>3602</v>
      </c>
    </row>
    <row r="535" spans="8:8" ht="15.75" thickBot="1" x14ac:dyDescent="0.3">
      <c r="H535" s="128">
        <v>8349</v>
      </c>
    </row>
    <row r="536" spans="8:8" ht="15.75" thickBot="1" x14ac:dyDescent="0.3">
      <c r="H536" s="128">
        <v>3442</v>
      </c>
    </row>
    <row r="537" spans="8:8" ht="15.75" thickBot="1" x14ac:dyDescent="0.3">
      <c r="H537" s="128">
        <v>2255</v>
      </c>
    </row>
    <row r="538" spans="8:8" ht="15.75" thickBot="1" x14ac:dyDescent="0.3">
      <c r="H538" s="128">
        <v>921</v>
      </c>
    </row>
    <row r="539" spans="8:8" ht="15.75" thickBot="1" x14ac:dyDescent="0.3">
      <c r="H539" s="128">
        <v>1636</v>
      </c>
    </row>
    <row r="540" spans="8:8" ht="15.75" thickBot="1" x14ac:dyDescent="0.3">
      <c r="H540" s="128">
        <v>4088</v>
      </c>
    </row>
    <row r="541" spans="8:8" ht="15.75" thickBot="1" x14ac:dyDescent="0.3">
      <c r="H541" s="128">
        <v>5596</v>
      </c>
    </row>
    <row r="542" spans="8:8" ht="15.75" thickBot="1" x14ac:dyDescent="0.3">
      <c r="H542" s="128">
        <v>2450</v>
      </c>
    </row>
    <row r="543" spans="8:8" ht="15.75" thickBot="1" x14ac:dyDescent="0.3">
      <c r="H543" s="128">
        <v>380</v>
      </c>
    </row>
    <row r="544" spans="8:8" ht="15.75" thickBot="1" x14ac:dyDescent="0.3">
      <c r="H544" s="128">
        <v>8000</v>
      </c>
    </row>
    <row r="545" spans="8:8" ht="15.75" thickBot="1" x14ac:dyDescent="0.3">
      <c r="H545" s="128">
        <v>2685</v>
      </c>
    </row>
    <row r="546" spans="8:8" ht="15.75" thickBot="1" x14ac:dyDescent="0.3">
      <c r="H546" s="128">
        <v>7073</v>
      </c>
    </row>
    <row r="547" spans="8:8" ht="15.75" thickBot="1" x14ac:dyDescent="0.3">
      <c r="H547" s="128">
        <v>1738</v>
      </c>
    </row>
    <row r="548" spans="8:8" ht="15.75" thickBot="1" x14ac:dyDescent="0.3">
      <c r="H548" s="128">
        <v>2616</v>
      </c>
    </row>
    <row r="549" spans="8:8" ht="15.75" thickBot="1" x14ac:dyDescent="0.3">
      <c r="H549" s="128">
        <v>3403</v>
      </c>
    </row>
    <row r="550" spans="8:8" ht="15.75" thickBot="1" x14ac:dyDescent="0.3">
      <c r="H550" s="128">
        <v>8281</v>
      </c>
    </row>
    <row r="551" spans="8:8" ht="15.75" thickBot="1" x14ac:dyDescent="0.3">
      <c r="H551" s="128">
        <v>1672</v>
      </c>
    </row>
    <row r="552" spans="8:8" ht="15.75" thickBot="1" x14ac:dyDescent="0.3">
      <c r="H552" s="128">
        <v>56</v>
      </c>
    </row>
    <row r="553" spans="8:8" ht="15.75" thickBot="1" x14ac:dyDescent="0.3">
      <c r="H553" s="128">
        <v>7189</v>
      </c>
    </row>
    <row r="554" spans="8:8" ht="15.75" thickBot="1" x14ac:dyDescent="0.3">
      <c r="H554" s="128">
        <v>4667</v>
      </c>
    </row>
    <row r="555" spans="8:8" ht="15.75" thickBot="1" x14ac:dyDescent="0.3">
      <c r="H555" s="128">
        <v>8778</v>
      </c>
    </row>
    <row r="556" spans="8:8" ht="15.75" thickBot="1" x14ac:dyDescent="0.3">
      <c r="H556" s="128">
        <v>2416</v>
      </c>
    </row>
    <row r="557" spans="8:8" ht="15.75" thickBot="1" x14ac:dyDescent="0.3">
      <c r="H557" s="128">
        <v>6565</v>
      </c>
    </row>
    <row r="558" spans="8:8" ht="15.75" thickBot="1" x14ac:dyDescent="0.3">
      <c r="H558" s="128">
        <v>3392</v>
      </c>
    </row>
    <row r="559" spans="8:8" ht="15.75" thickBot="1" x14ac:dyDescent="0.3">
      <c r="H559" s="128">
        <v>3626</v>
      </c>
    </row>
    <row r="560" spans="8:8" ht="15.75" thickBot="1" x14ac:dyDescent="0.3">
      <c r="H560" s="128">
        <v>620</v>
      </c>
    </row>
    <row r="561" spans="8:8" ht="15.75" thickBot="1" x14ac:dyDescent="0.3">
      <c r="H561" s="128">
        <v>3879</v>
      </c>
    </row>
    <row r="562" spans="8:8" ht="15.75" thickBot="1" x14ac:dyDescent="0.3">
      <c r="H562" s="128">
        <v>8378</v>
      </c>
    </row>
    <row r="563" spans="8:8" ht="15.75" thickBot="1" x14ac:dyDescent="0.3">
      <c r="H563" s="128">
        <v>8904</v>
      </c>
    </row>
    <row r="564" spans="8:8" ht="15.75" thickBot="1" x14ac:dyDescent="0.3">
      <c r="H564" s="128">
        <v>6141</v>
      </c>
    </row>
    <row r="565" spans="8:8" ht="15.75" thickBot="1" x14ac:dyDescent="0.3">
      <c r="H565" s="128">
        <v>5942</v>
      </c>
    </row>
    <row r="566" spans="8:8" ht="15.75" thickBot="1" x14ac:dyDescent="0.3">
      <c r="H566" s="128">
        <v>8945</v>
      </c>
    </row>
    <row r="567" spans="8:8" ht="15.75" thickBot="1" x14ac:dyDescent="0.3">
      <c r="H567" s="128">
        <v>3552</v>
      </c>
    </row>
    <row r="568" spans="8:8" ht="15.75" thickBot="1" x14ac:dyDescent="0.3">
      <c r="H568" s="128">
        <v>5203</v>
      </c>
    </row>
    <row r="569" spans="8:8" ht="15.75" thickBot="1" x14ac:dyDescent="0.3">
      <c r="H569" s="128">
        <v>5353</v>
      </c>
    </row>
    <row r="570" spans="8:8" ht="15.75" thickBot="1" x14ac:dyDescent="0.3">
      <c r="H570" s="128">
        <v>3241</v>
      </c>
    </row>
    <row r="571" spans="8:8" ht="15.75" thickBot="1" x14ac:dyDescent="0.3">
      <c r="H571" s="128">
        <v>3975</v>
      </c>
    </row>
    <row r="572" spans="8:8" ht="15.75" thickBot="1" x14ac:dyDescent="0.3">
      <c r="H572" s="128">
        <v>4163</v>
      </c>
    </row>
    <row r="573" spans="8:8" ht="15.75" thickBot="1" x14ac:dyDescent="0.3">
      <c r="H573" s="128">
        <v>8979</v>
      </c>
    </row>
    <row r="574" spans="8:8" ht="15.75" thickBot="1" x14ac:dyDescent="0.3">
      <c r="H574" s="128">
        <v>1170</v>
      </c>
    </row>
    <row r="575" spans="8:8" ht="15.75" thickBot="1" x14ac:dyDescent="0.3">
      <c r="H575" s="128">
        <v>8222</v>
      </c>
    </row>
    <row r="576" spans="8:8" ht="15.75" thickBot="1" x14ac:dyDescent="0.3">
      <c r="H576" s="128">
        <v>2195</v>
      </c>
    </row>
    <row r="577" spans="8:8" ht="15.75" thickBot="1" x14ac:dyDescent="0.3">
      <c r="H577" s="128">
        <v>2997</v>
      </c>
    </row>
    <row r="578" spans="8:8" ht="15.75" thickBot="1" x14ac:dyDescent="0.3">
      <c r="H578" s="128">
        <v>787</v>
      </c>
    </row>
    <row r="579" spans="8:8" ht="15.75" thickBot="1" x14ac:dyDescent="0.3">
      <c r="H579" s="128">
        <v>7893</v>
      </c>
    </row>
    <row r="580" spans="8:8" ht="15.75" thickBot="1" x14ac:dyDescent="0.3">
      <c r="H580" s="128">
        <v>600</v>
      </c>
    </row>
    <row r="581" spans="8:8" ht="15.75" thickBot="1" x14ac:dyDescent="0.3">
      <c r="H581" s="128">
        <v>3900</v>
      </c>
    </row>
    <row r="582" spans="8:8" ht="15.75" thickBot="1" x14ac:dyDescent="0.3">
      <c r="H582" s="128">
        <v>5500</v>
      </c>
    </row>
    <row r="583" spans="8:8" ht="15.75" thickBot="1" x14ac:dyDescent="0.3">
      <c r="H583" s="128">
        <v>656</v>
      </c>
    </row>
    <row r="584" spans="8:8" ht="15.75" thickBot="1" x14ac:dyDescent="0.3">
      <c r="H584" s="128">
        <v>1579</v>
      </c>
    </row>
    <row r="585" spans="8:8" ht="15.75" thickBot="1" x14ac:dyDescent="0.3">
      <c r="H585" s="128">
        <v>7457</v>
      </c>
    </row>
    <row r="586" spans="8:8" ht="15.75" thickBot="1" x14ac:dyDescent="0.3">
      <c r="H586" s="128">
        <v>169</v>
      </c>
    </row>
    <row r="587" spans="8:8" ht="15.75" thickBot="1" x14ac:dyDescent="0.3">
      <c r="H587" s="128">
        <v>7540</v>
      </c>
    </row>
    <row r="588" spans="8:8" ht="15.75" thickBot="1" x14ac:dyDescent="0.3">
      <c r="H588" s="128">
        <v>5117</v>
      </c>
    </row>
    <row r="589" spans="8:8" ht="15.75" thickBot="1" x14ac:dyDescent="0.3">
      <c r="H589" s="128">
        <v>3507</v>
      </c>
    </row>
    <row r="590" spans="8:8" ht="15.75" thickBot="1" x14ac:dyDescent="0.3">
      <c r="H590" s="128">
        <v>2274</v>
      </c>
    </row>
    <row r="591" spans="8:8" ht="15.75" thickBot="1" x14ac:dyDescent="0.3">
      <c r="H591" s="128">
        <v>7677</v>
      </c>
    </row>
    <row r="592" spans="8:8" ht="15.75" thickBot="1" x14ac:dyDescent="0.3">
      <c r="H592" s="128">
        <v>199</v>
      </c>
    </row>
    <row r="593" spans="8:8" ht="15.75" thickBot="1" x14ac:dyDescent="0.3">
      <c r="H593" s="128">
        <v>185</v>
      </c>
    </row>
    <row r="594" spans="8:8" ht="15.75" thickBot="1" x14ac:dyDescent="0.3">
      <c r="H594" s="128">
        <v>2271</v>
      </c>
    </row>
    <row r="595" spans="8:8" ht="15.75" thickBot="1" x14ac:dyDescent="0.3">
      <c r="H595" s="128">
        <v>1720</v>
      </c>
    </row>
    <row r="596" spans="8:8" ht="15.75" thickBot="1" x14ac:dyDescent="0.3">
      <c r="H596" s="128">
        <v>7936</v>
      </c>
    </row>
    <row r="597" spans="8:8" ht="15.75" thickBot="1" x14ac:dyDescent="0.3">
      <c r="H597" s="128">
        <v>5928</v>
      </c>
    </row>
    <row r="598" spans="8:8" ht="15.75" thickBot="1" x14ac:dyDescent="0.3">
      <c r="H598" s="128">
        <v>4799</v>
      </c>
    </row>
    <row r="599" spans="8:8" ht="15.75" thickBot="1" x14ac:dyDescent="0.3">
      <c r="H599" s="128">
        <v>1137</v>
      </c>
    </row>
    <row r="600" spans="8:8" ht="15.75" thickBot="1" x14ac:dyDescent="0.3">
      <c r="H600" s="128">
        <v>1040</v>
      </c>
    </row>
    <row r="601" spans="8:8" ht="15.75" thickBot="1" x14ac:dyDescent="0.3">
      <c r="H601" s="128">
        <v>1988</v>
      </c>
    </row>
    <row r="602" spans="8:8" ht="15.75" thickBot="1" x14ac:dyDescent="0.3">
      <c r="H602" s="128">
        <v>4210</v>
      </c>
    </row>
    <row r="603" spans="8:8" ht="15.75" thickBot="1" x14ac:dyDescent="0.3">
      <c r="H603" s="128">
        <v>6489</v>
      </c>
    </row>
    <row r="604" spans="8:8" ht="15.75" thickBot="1" x14ac:dyDescent="0.3">
      <c r="H604" s="128">
        <v>2781</v>
      </c>
    </row>
    <row r="605" spans="8:8" ht="15.75" thickBot="1" x14ac:dyDescent="0.3">
      <c r="H605" s="128">
        <v>7360</v>
      </c>
    </row>
    <row r="606" spans="8:8" ht="15.75" thickBot="1" x14ac:dyDescent="0.3">
      <c r="H606" s="128">
        <v>1665</v>
      </c>
    </row>
    <row r="607" spans="8:8" ht="15.75" thickBot="1" x14ac:dyDescent="0.3">
      <c r="H607" s="128">
        <v>1682</v>
      </c>
    </row>
    <row r="608" spans="8:8" ht="15.75" thickBot="1" x14ac:dyDescent="0.3">
      <c r="H608" s="128">
        <v>1917</v>
      </c>
    </row>
    <row r="609" spans="8:8" ht="15.75" thickBot="1" x14ac:dyDescent="0.3">
      <c r="H609" s="128">
        <v>7364</v>
      </c>
    </row>
    <row r="610" spans="8:8" ht="15.75" thickBot="1" x14ac:dyDescent="0.3">
      <c r="H610" s="128">
        <v>5456</v>
      </c>
    </row>
    <row r="611" spans="8:8" ht="15.75" thickBot="1" x14ac:dyDescent="0.3">
      <c r="H611" s="128">
        <v>2148</v>
      </c>
    </row>
    <row r="612" spans="8:8" ht="15.75" thickBot="1" x14ac:dyDescent="0.3">
      <c r="H612" s="128">
        <v>5030</v>
      </c>
    </row>
    <row r="613" spans="8:8" ht="15.75" thickBot="1" x14ac:dyDescent="0.3">
      <c r="H613" s="128">
        <v>3135</v>
      </c>
    </row>
    <row r="614" spans="8:8" ht="15.75" thickBot="1" x14ac:dyDescent="0.3">
      <c r="H614" s="128">
        <v>5602</v>
      </c>
    </row>
    <row r="615" spans="8:8" ht="15.75" thickBot="1" x14ac:dyDescent="0.3">
      <c r="H615" s="128">
        <v>8259</v>
      </c>
    </row>
    <row r="616" spans="8:8" ht="15.75" thickBot="1" x14ac:dyDescent="0.3">
      <c r="H616" s="128">
        <v>1686</v>
      </c>
    </row>
    <row r="617" spans="8:8" ht="15.75" thickBot="1" x14ac:dyDescent="0.3">
      <c r="H617" s="128">
        <v>6765</v>
      </c>
    </row>
    <row r="618" spans="8:8" ht="15.75" thickBot="1" x14ac:dyDescent="0.3">
      <c r="H618" s="128">
        <v>3083</v>
      </c>
    </row>
    <row r="619" spans="8:8" ht="15.75" thickBot="1" x14ac:dyDescent="0.3">
      <c r="H619" s="128">
        <v>1324</v>
      </c>
    </row>
    <row r="620" spans="8:8" ht="15.75" thickBot="1" x14ac:dyDescent="0.3">
      <c r="H620" s="128">
        <v>3030</v>
      </c>
    </row>
    <row r="621" spans="8:8" ht="15.75" thickBot="1" x14ac:dyDescent="0.3">
      <c r="H621" s="128">
        <v>7525</v>
      </c>
    </row>
    <row r="622" spans="8:8" ht="15.75" thickBot="1" x14ac:dyDescent="0.3">
      <c r="H622" s="128">
        <v>8519</v>
      </c>
    </row>
    <row r="623" spans="8:8" ht="15.75" thickBot="1" x14ac:dyDescent="0.3">
      <c r="H623" s="128">
        <v>1909</v>
      </c>
    </row>
    <row r="624" spans="8:8" ht="15.75" thickBot="1" x14ac:dyDescent="0.3">
      <c r="H624" s="128">
        <v>8408</v>
      </c>
    </row>
    <row r="625" spans="8:8" ht="15.75" thickBot="1" x14ac:dyDescent="0.3">
      <c r="H625" s="128">
        <v>4495</v>
      </c>
    </row>
    <row r="626" spans="8:8" ht="15.75" thickBot="1" x14ac:dyDescent="0.3">
      <c r="H626" s="128">
        <v>3082</v>
      </c>
    </row>
    <row r="627" spans="8:8" ht="15.75" thickBot="1" x14ac:dyDescent="0.3">
      <c r="H627" s="128">
        <v>3730</v>
      </c>
    </row>
    <row r="628" spans="8:8" ht="15.75" thickBot="1" x14ac:dyDescent="0.3">
      <c r="H628" s="128">
        <v>6235</v>
      </c>
    </row>
    <row r="629" spans="8:8" ht="15.75" thickBot="1" x14ac:dyDescent="0.3">
      <c r="H629" s="128">
        <v>5321</v>
      </c>
    </row>
    <row r="630" spans="8:8" ht="15.75" thickBot="1" x14ac:dyDescent="0.3">
      <c r="H630" s="128">
        <v>5257</v>
      </c>
    </row>
    <row r="631" spans="8:8" ht="15.75" thickBot="1" x14ac:dyDescent="0.3">
      <c r="H631" s="128">
        <v>4118</v>
      </c>
    </row>
    <row r="632" spans="8:8" ht="15.75" thickBot="1" x14ac:dyDescent="0.3">
      <c r="H632" s="128">
        <v>2846</v>
      </c>
    </row>
    <row r="633" spans="8:8" ht="15.75" thickBot="1" x14ac:dyDescent="0.3">
      <c r="H633" s="128">
        <v>1999</v>
      </c>
    </row>
    <row r="634" spans="8:8" ht="15.75" thickBot="1" x14ac:dyDescent="0.3">
      <c r="H634" s="128">
        <v>8165</v>
      </c>
    </row>
    <row r="635" spans="8:8" ht="15.75" thickBot="1" x14ac:dyDescent="0.3">
      <c r="H635" s="128">
        <v>3562</v>
      </c>
    </row>
    <row r="636" spans="8:8" ht="15.75" thickBot="1" x14ac:dyDescent="0.3">
      <c r="H636" s="128">
        <v>3615</v>
      </c>
    </row>
    <row r="637" spans="8:8" ht="15.75" thickBot="1" x14ac:dyDescent="0.3">
      <c r="H637" s="128">
        <v>2319</v>
      </c>
    </row>
    <row r="638" spans="8:8" ht="15.75" thickBot="1" x14ac:dyDescent="0.3">
      <c r="H638" s="128">
        <v>5711</v>
      </c>
    </row>
    <row r="639" spans="8:8" ht="15.75" thickBot="1" x14ac:dyDescent="0.3">
      <c r="H639" s="128">
        <v>4357</v>
      </c>
    </row>
    <row r="640" spans="8:8" ht="15.75" thickBot="1" x14ac:dyDescent="0.3">
      <c r="H640" s="128">
        <v>7612</v>
      </c>
    </row>
    <row r="641" spans="8:8" ht="15.75" thickBot="1" x14ac:dyDescent="0.3">
      <c r="H641" s="128">
        <v>3919</v>
      </c>
    </row>
    <row r="642" spans="8:8" ht="15.75" thickBot="1" x14ac:dyDescent="0.3">
      <c r="H642" s="128">
        <v>4067</v>
      </c>
    </row>
    <row r="643" spans="8:8" ht="15.75" thickBot="1" x14ac:dyDescent="0.3">
      <c r="H643" s="128">
        <v>5337</v>
      </c>
    </row>
    <row r="644" spans="8:8" ht="15.75" thickBot="1" x14ac:dyDescent="0.3">
      <c r="H644" s="128">
        <v>6095</v>
      </c>
    </row>
    <row r="645" spans="8:8" ht="15.75" thickBot="1" x14ac:dyDescent="0.3">
      <c r="H645" s="128">
        <v>5645</v>
      </c>
    </row>
    <row r="646" spans="8:8" ht="15.75" thickBot="1" x14ac:dyDescent="0.3">
      <c r="H646" s="128">
        <v>7683</v>
      </c>
    </row>
    <row r="647" spans="8:8" ht="15.75" thickBot="1" x14ac:dyDescent="0.3">
      <c r="H647" s="128">
        <v>4741</v>
      </c>
    </row>
    <row r="648" spans="8:8" ht="15.75" thickBot="1" x14ac:dyDescent="0.3">
      <c r="H648" s="128">
        <v>8841</v>
      </c>
    </row>
    <row r="649" spans="8:8" ht="15.75" thickBot="1" x14ac:dyDescent="0.3">
      <c r="H649" s="128">
        <v>4113</v>
      </c>
    </row>
    <row r="650" spans="8:8" ht="15.75" thickBot="1" x14ac:dyDescent="0.3">
      <c r="H650" s="128">
        <v>7028</v>
      </c>
    </row>
    <row r="651" spans="8:8" ht="15.75" thickBot="1" x14ac:dyDescent="0.3">
      <c r="H651" s="128">
        <v>3879</v>
      </c>
    </row>
    <row r="652" spans="8:8" ht="15.75" thickBot="1" x14ac:dyDescent="0.3">
      <c r="H652" s="128">
        <v>8154</v>
      </c>
    </row>
    <row r="653" spans="8:8" ht="15.75" thickBot="1" x14ac:dyDescent="0.3">
      <c r="H653" s="128">
        <v>5289</v>
      </c>
    </row>
    <row r="654" spans="8:8" ht="15.75" thickBot="1" x14ac:dyDescent="0.3">
      <c r="H654" s="128">
        <v>4391</v>
      </c>
    </row>
    <row r="655" spans="8:8" ht="15.75" thickBot="1" x14ac:dyDescent="0.3">
      <c r="H655" s="128">
        <v>2866</v>
      </c>
    </row>
    <row r="656" spans="8:8" ht="15.75" thickBot="1" x14ac:dyDescent="0.3">
      <c r="H656" s="128">
        <v>8674</v>
      </c>
    </row>
    <row r="657" spans="8:8" ht="15.75" thickBot="1" x14ac:dyDescent="0.3">
      <c r="H657" s="128">
        <v>1940</v>
      </c>
    </row>
    <row r="658" spans="8:8" ht="15.75" thickBot="1" x14ac:dyDescent="0.3">
      <c r="H658" s="128">
        <v>1396</v>
      </c>
    </row>
    <row r="659" spans="8:8" ht="15.75" thickBot="1" x14ac:dyDescent="0.3">
      <c r="H659" s="128">
        <v>8355</v>
      </c>
    </row>
    <row r="660" spans="8:8" ht="15.75" thickBot="1" x14ac:dyDescent="0.3">
      <c r="H660" s="128">
        <v>491</v>
      </c>
    </row>
    <row r="661" spans="8:8" ht="15.75" thickBot="1" x14ac:dyDescent="0.3">
      <c r="H661" s="128">
        <v>6684</v>
      </c>
    </row>
    <row r="662" spans="8:8" ht="15.75" thickBot="1" x14ac:dyDescent="0.3">
      <c r="H662" s="128">
        <v>3010</v>
      </c>
    </row>
    <row r="663" spans="8:8" ht="15.75" thickBot="1" x14ac:dyDescent="0.3">
      <c r="H663" s="128">
        <v>5444</v>
      </c>
    </row>
    <row r="664" spans="8:8" ht="15.75" thickBot="1" x14ac:dyDescent="0.3">
      <c r="H664" s="128">
        <v>2407</v>
      </c>
    </row>
    <row r="665" spans="8:8" ht="15.75" thickBot="1" x14ac:dyDescent="0.3">
      <c r="H665" s="128">
        <v>10</v>
      </c>
    </row>
    <row r="666" spans="8:8" ht="15.75" thickBot="1" x14ac:dyDescent="0.3">
      <c r="H666" s="128">
        <v>1414</v>
      </c>
    </row>
    <row r="667" spans="8:8" ht="15.75" thickBot="1" x14ac:dyDescent="0.3">
      <c r="H667" s="128">
        <v>207</v>
      </c>
    </row>
    <row r="668" spans="8:8" ht="15.75" thickBot="1" x14ac:dyDescent="0.3">
      <c r="H668" s="128">
        <v>1089</v>
      </c>
    </row>
    <row r="669" spans="8:8" ht="15.75" thickBot="1" x14ac:dyDescent="0.3">
      <c r="H669" s="128">
        <v>1600</v>
      </c>
    </row>
    <row r="670" spans="8:8" ht="15.75" thickBot="1" x14ac:dyDescent="0.3">
      <c r="H670" s="128">
        <v>1480</v>
      </c>
    </row>
    <row r="671" spans="8:8" ht="15.75" thickBot="1" x14ac:dyDescent="0.3">
      <c r="H671" s="128">
        <v>1357</v>
      </c>
    </row>
    <row r="672" spans="8:8" ht="15.75" thickBot="1" x14ac:dyDescent="0.3">
      <c r="H672" s="128">
        <v>4050</v>
      </c>
    </row>
    <row r="673" spans="8:8" ht="15.75" thickBot="1" x14ac:dyDescent="0.3">
      <c r="H673" s="128">
        <v>6091</v>
      </c>
    </row>
    <row r="674" spans="8:8" ht="15.75" thickBot="1" x14ac:dyDescent="0.3">
      <c r="H674" s="128">
        <v>2894</v>
      </c>
    </row>
    <row r="675" spans="8:8" ht="15.75" thickBot="1" x14ac:dyDescent="0.3">
      <c r="H675" s="128">
        <v>7129</v>
      </c>
    </row>
    <row r="676" spans="8:8" ht="15.75" thickBot="1" x14ac:dyDescent="0.3">
      <c r="H676" s="128">
        <v>1905</v>
      </c>
    </row>
    <row r="677" spans="8:8" ht="15.75" thickBot="1" x14ac:dyDescent="0.3">
      <c r="H677" s="128">
        <v>7704</v>
      </c>
    </row>
    <row r="678" spans="8:8" ht="15.75" thickBot="1" x14ac:dyDescent="0.3">
      <c r="H678" s="128">
        <v>3107</v>
      </c>
    </row>
    <row r="679" spans="8:8" ht="15.75" thickBot="1" x14ac:dyDescent="0.3">
      <c r="H679" s="128">
        <v>3023</v>
      </c>
    </row>
    <row r="680" spans="8:8" ht="15.75" thickBot="1" x14ac:dyDescent="0.3">
      <c r="H680" s="128">
        <v>3117</v>
      </c>
    </row>
    <row r="681" spans="8:8" ht="15.75" thickBot="1" x14ac:dyDescent="0.3">
      <c r="H681" s="128">
        <v>3147</v>
      </c>
    </row>
    <row r="682" spans="8:8" ht="15.75" thickBot="1" x14ac:dyDescent="0.3">
      <c r="H682" s="128">
        <v>5817</v>
      </c>
    </row>
    <row r="683" spans="8:8" ht="15.75" thickBot="1" x14ac:dyDescent="0.3">
      <c r="H683" s="128">
        <v>6114</v>
      </c>
    </row>
    <row r="684" spans="8:8" ht="15.75" thickBot="1" x14ac:dyDescent="0.3">
      <c r="H684" s="128">
        <v>6865</v>
      </c>
    </row>
    <row r="685" spans="8:8" ht="15.75" thickBot="1" x14ac:dyDescent="0.3">
      <c r="H685" s="128">
        <v>7094</v>
      </c>
    </row>
    <row r="686" spans="8:8" ht="15.75" thickBot="1" x14ac:dyDescent="0.3">
      <c r="H686" s="128">
        <v>4055</v>
      </c>
    </row>
    <row r="687" spans="8:8" ht="15.75" thickBot="1" x14ac:dyDescent="0.3">
      <c r="H687" s="128">
        <v>3398</v>
      </c>
    </row>
    <row r="688" spans="8:8" ht="15.75" thickBot="1" x14ac:dyDescent="0.3">
      <c r="H688" s="128">
        <v>2112</v>
      </c>
    </row>
    <row r="689" spans="8:8" ht="15.75" thickBot="1" x14ac:dyDescent="0.3">
      <c r="H689" s="128">
        <v>2475</v>
      </c>
    </row>
    <row r="690" spans="8:8" ht="15.75" thickBot="1" x14ac:dyDescent="0.3">
      <c r="H690" s="128">
        <v>4805</v>
      </c>
    </row>
    <row r="691" spans="8:8" ht="15.75" thickBot="1" x14ac:dyDescent="0.3">
      <c r="H691" s="128">
        <v>4229</v>
      </c>
    </row>
    <row r="692" spans="8:8" ht="15.75" thickBot="1" x14ac:dyDescent="0.3">
      <c r="H692" s="128">
        <v>7027</v>
      </c>
    </row>
    <row r="693" spans="8:8" ht="15.75" thickBot="1" x14ac:dyDescent="0.3">
      <c r="H693" s="128">
        <v>2923</v>
      </c>
    </row>
    <row r="694" spans="8:8" ht="15.75" thickBot="1" x14ac:dyDescent="0.3">
      <c r="H694" s="128">
        <v>696</v>
      </c>
    </row>
    <row r="695" spans="8:8" ht="15.75" thickBot="1" x14ac:dyDescent="0.3">
      <c r="H695" s="128">
        <v>1706</v>
      </c>
    </row>
    <row r="696" spans="8:8" ht="15.75" thickBot="1" x14ac:dyDescent="0.3">
      <c r="H696" s="128">
        <v>570</v>
      </c>
    </row>
    <row r="697" spans="8:8" ht="15.75" thickBot="1" x14ac:dyDescent="0.3">
      <c r="H697" s="128">
        <v>2915</v>
      </c>
    </row>
    <row r="698" spans="8:8" ht="15.75" thickBot="1" x14ac:dyDescent="0.3">
      <c r="H698" s="128">
        <v>207</v>
      </c>
    </row>
    <row r="699" spans="8:8" ht="15.75" thickBot="1" x14ac:dyDescent="0.3">
      <c r="H699" s="128">
        <v>8428</v>
      </c>
    </row>
    <row r="700" spans="8:8" ht="15.75" thickBot="1" x14ac:dyDescent="0.3">
      <c r="H700" s="128">
        <v>1572</v>
      </c>
    </row>
    <row r="701" spans="8:8" ht="15.75" thickBot="1" x14ac:dyDescent="0.3">
      <c r="H701" s="128">
        <v>4239</v>
      </c>
    </row>
    <row r="702" spans="8:8" ht="15.75" thickBot="1" x14ac:dyDescent="0.3">
      <c r="H702" s="128">
        <v>2096</v>
      </c>
    </row>
    <row r="703" spans="8:8" ht="15.75" thickBot="1" x14ac:dyDescent="0.3">
      <c r="H703" s="128">
        <v>7761</v>
      </c>
    </row>
    <row r="704" spans="8:8" ht="15.75" thickBot="1" x14ac:dyDescent="0.3">
      <c r="H704" s="128">
        <v>5565</v>
      </c>
    </row>
    <row r="705" spans="8:8" ht="15.75" thickBot="1" x14ac:dyDescent="0.3">
      <c r="H705" s="128">
        <v>1074</v>
      </c>
    </row>
    <row r="706" spans="8:8" ht="15.75" thickBot="1" x14ac:dyDescent="0.3">
      <c r="H706" s="128">
        <v>7440</v>
      </c>
    </row>
    <row r="707" spans="8:8" ht="15.75" thickBot="1" x14ac:dyDescent="0.3">
      <c r="H707" s="128">
        <v>7665</v>
      </c>
    </row>
    <row r="708" spans="8:8" ht="15.75" thickBot="1" x14ac:dyDescent="0.3">
      <c r="H708" s="128">
        <v>2337</v>
      </c>
    </row>
    <row r="709" spans="8:8" ht="15.75" thickBot="1" x14ac:dyDescent="0.3">
      <c r="H709" s="128">
        <v>2723</v>
      </c>
    </row>
    <row r="710" spans="8:8" ht="15.75" thickBot="1" x14ac:dyDescent="0.3">
      <c r="H710" s="128">
        <v>758</v>
      </c>
    </row>
    <row r="711" spans="8:8" ht="15.75" thickBot="1" x14ac:dyDescent="0.3">
      <c r="H711" s="128">
        <v>8683</v>
      </c>
    </row>
    <row r="712" spans="8:8" ht="15.75" thickBot="1" x14ac:dyDescent="0.3">
      <c r="H712" s="128">
        <v>5915</v>
      </c>
    </row>
    <row r="713" spans="8:8" ht="15.75" thickBot="1" x14ac:dyDescent="0.3">
      <c r="H713" s="128">
        <v>5295</v>
      </c>
    </row>
    <row r="714" spans="8:8" ht="15.75" thickBot="1" x14ac:dyDescent="0.3">
      <c r="H714" s="128">
        <v>153</v>
      </c>
    </row>
    <row r="715" spans="8:8" ht="15.75" thickBot="1" x14ac:dyDescent="0.3">
      <c r="H715" s="128">
        <v>4873</v>
      </c>
    </row>
    <row r="716" spans="8:8" ht="15.75" thickBot="1" x14ac:dyDescent="0.3">
      <c r="H716" s="128">
        <v>7423</v>
      </c>
    </row>
    <row r="717" spans="8:8" ht="15.75" thickBot="1" x14ac:dyDescent="0.3">
      <c r="H717" s="128">
        <v>7104</v>
      </c>
    </row>
    <row r="718" spans="8:8" ht="15.75" thickBot="1" x14ac:dyDescent="0.3">
      <c r="H718" s="128">
        <v>1116</v>
      </c>
    </row>
    <row r="719" spans="8:8" ht="15.75" thickBot="1" x14ac:dyDescent="0.3">
      <c r="H719" s="128">
        <v>5885</v>
      </c>
    </row>
    <row r="720" spans="8:8" ht="15.75" thickBot="1" x14ac:dyDescent="0.3">
      <c r="H720" s="128">
        <v>7109</v>
      </c>
    </row>
    <row r="721" spans="8:8" ht="15.75" thickBot="1" x14ac:dyDescent="0.3">
      <c r="H721" s="128">
        <v>1981</v>
      </c>
    </row>
    <row r="722" spans="8:8" ht="15.75" thickBot="1" x14ac:dyDescent="0.3">
      <c r="H722" s="128">
        <v>3502</v>
      </c>
    </row>
    <row r="723" spans="8:8" ht="15.75" thickBot="1" x14ac:dyDescent="0.3">
      <c r="H723" s="128">
        <v>6302</v>
      </c>
    </row>
    <row r="724" spans="8:8" ht="15.75" thickBot="1" x14ac:dyDescent="0.3">
      <c r="H724" s="128">
        <v>6607</v>
      </c>
    </row>
    <row r="725" spans="8:8" ht="15.75" thickBot="1" x14ac:dyDescent="0.3">
      <c r="H725" s="128">
        <v>7789</v>
      </c>
    </row>
    <row r="726" spans="8:8" ht="15.75" thickBot="1" x14ac:dyDescent="0.3">
      <c r="H726" s="128">
        <v>5256</v>
      </c>
    </row>
    <row r="727" spans="8:8" ht="15.75" thickBot="1" x14ac:dyDescent="0.3">
      <c r="H727" s="128">
        <v>6664</v>
      </c>
    </row>
    <row r="728" spans="8:8" ht="15.75" thickBot="1" x14ac:dyDescent="0.3">
      <c r="H728" s="128">
        <v>6320</v>
      </c>
    </row>
    <row r="729" spans="8:8" ht="15.75" thickBot="1" x14ac:dyDescent="0.3">
      <c r="H729" s="128">
        <v>7220</v>
      </c>
    </row>
    <row r="730" spans="8:8" ht="15.75" thickBot="1" x14ac:dyDescent="0.3">
      <c r="H730" s="128">
        <v>7754</v>
      </c>
    </row>
    <row r="731" spans="8:8" ht="15.75" thickBot="1" x14ac:dyDescent="0.3">
      <c r="H731" s="128">
        <v>2460</v>
      </c>
    </row>
    <row r="732" spans="8:8" ht="15.75" thickBot="1" x14ac:dyDescent="0.3">
      <c r="H732" s="128">
        <v>4556</v>
      </c>
    </row>
    <row r="733" spans="8:8" ht="15.75" thickBot="1" x14ac:dyDescent="0.3">
      <c r="H733" s="128">
        <v>7760</v>
      </c>
    </row>
    <row r="734" spans="8:8" ht="15.75" thickBot="1" x14ac:dyDescent="0.3">
      <c r="H734" s="128">
        <v>7061</v>
      </c>
    </row>
    <row r="735" spans="8:8" ht="15.75" thickBot="1" x14ac:dyDescent="0.3">
      <c r="H735" s="128">
        <v>3456</v>
      </c>
    </row>
    <row r="736" spans="8:8" ht="15.75" thickBot="1" x14ac:dyDescent="0.3">
      <c r="H736" s="128">
        <v>2149</v>
      </c>
    </row>
    <row r="737" spans="8:8" ht="15.75" thickBot="1" x14ac:dyDescent="0.3">
      <c r="H737" s="128">
        <v>5523</v>
      </c>
    </row>
    <row r="738" spans="8:8" ht="15.75" thickBot="1" x14ac:dyDescent="0.3">
      <c r="H738" s="128">
        <v>6021</v>
      </c>
    </row>
    <row r="739" spans="8:8" ht="15.75" thickBot="1" x14ac:dyDescent="0.3">
      <c r="H739" s="128">
        <v>4527</v>
      </c>
    </row>
    <row r="740" spans="8:8" ht="15.75" thickBot="1" x14ac:dyDescent="0.3">
      <c r="H740" s="128">
        <v>4629</v>
      </c>
    </row>
    <row r="741" spans="8:8" ht="15.75" thickBot="1" x14ac:dyDescent="0.3">
      <c r="H741" s="128">
        <v>2377</v>
      </c>
    </row>
    <row r="742" spans="8:8" ht="15.75" thickBot="1" x14ac:dyDescent="0.3">
      <c r="H742" s="128">
        <v>2523</v>
      </c>
    </row>
    <row r="743" spans="8:8" ht="15.75" thickBot="1" x14ac:dyDescent="0.3">
      <c r="H743" s="128">
        <v>8222</v>
      </c>
    </row>
    <row r="744" spans="8:8" ht="15.75" thickBot="1" x14ac:dyDescent="0.3">
      <c r="H744" s="128">
        <v>4621</v>
      </c>
    </row>
    <row r="745" spans="8:8" ht="15.75" thickBot="1" x14ac:dyDescent="0.3">
      <c r="H745" s="128">
        <v>2457</v>
      </c>
    </row>
    <row r="746" spans="8:8" ht="15.75" thickBot="1" x14ac:dyDescent="0.3">
      <c r="H746" s="128">
        <v>7848</v>
      </c>
    </row>
    <row r="747" spans="8:8" ht="15.75" thickBot="1" x14ac:dyDescent="0.3">
      <c r="H747" s="128">
        <v>6127</v>
      </c>
    </row>
    <row r="748" spans="8:8" ht="15.75" thickBot="1" x14ac:dyDescent="0.3">
      <c r="H748" s="128">
        <v>7571</v>
      </c>
    </row>
    <row r="749" spans="8:8" ht="15.75" thickBot="1" x14ac:dyDescent="0.3">
      <c r="H749" s="128">
        <v>3776</v>
      </c>
    </row>
    <row r="750" spans="8:8" ht="15.75" thickBot="1" x14ac:dyDescent="0.3">
      <c r="H750" s="128">
        <v>8662</v>
      </c>
    </row>
    <row r="751" spans="8:8" ht="15.75" thickBot="1" x14ac:dyDescent="0.3">
      <c r="H751" s="128">
        <v>2709</v>
      </c>
    </row>
    <row r="752" spans="8:8" ht="15.75" thickBot="1" x14ac:dyDescent="0.3">
      <c r="H752" s="128">
        <v>7447</v>
      </c>
    </row>
    <row r="753" spans="8:8" ht="15.75" thickBot="1" x14ac:dyDescent="0.3">
      <c r="H753" s="128">
        <v>4730</v>
      </c>
    </row>
    <row r="754" spans="8:8" ht="15.75" thickBot="1" x14ac:dyDescent="0.3">
      <c r="H754" s="128">
        <v>4866</v>
      </c>
    </row>
    <row r="755" spans="8:8" ht="15.75" thickBot="1" x14ac:dyDescent="0.3">
      <c r="H755" s="128">
        <v>7924</v>
      </c>
    </row>
    <row r="756" spans="8:8" ht="15.75" thickBot="1" x14ac:dyDescent="0.3">
      <c r="H756" s="128">
        <v>6756</v>
      </c>
    </row>
    <row r="757" spans="8:8" ht="15.75" thickBot="1" x14ac:dyDescent="0.3">
      <c r="H757" s="128">
        <v>3873</v>
      </c>
    </row>
    <row r="758" spans="8:8" ht="15.75" thickBot="1" x14ac:dyDescent="0.3">
      <c r="H758" s="128">
        <v>448</v>
      </c>
    </row>
    <row r="759" spans="8:8" ht="15.75" thickBot="1" x14ac:dyDescent="0.3">
      <c r="H759" s="128">
        <v>3686</v>
      </c>
    </row>
    <row r="760" spans="8:8" ht="15.75" thickBot="1" x14ac:dyDescent="0.3">
      <c r="H760" s="128">
        <v>3696</v>
      </c>
    </row>
    <row r="761" spans="8:8" ht="15.75" thickBot="1" x14ac:dyDescent="0.3">
      <c r="H761" s="128">
        <v>2255</v>
      </c>
    </row>
    <row r="762" spans="8:8" ht="15.75" thickBot="1" x14ac:dyDescent="0.3">
      <c r="H762" s="128">
        <v>5737</v>
      </c>
    </row>
    <row r="763" spans="8:8" ht="15.75" thickBot="1" x14ac:dyDescent="0.3">
      <c r="H763" s="128">
        <v>2533</v>
      </c>
    </row>
    <row r="764" spans="8:8" ht="15.75" thickBot="1" x14ac:dyDescent="0.3">
      <c r="H764" s="128">
        <v>5018</v>
      </c>
    </row>
    <row r="765" spans="8:8" ht="15.75" thickBot="1" x14ac:dyDescent="0.3">
      <c r="H765" s="128">
        <v>1584</v>
      </c>
    </row>
    <row r="766" spans="8:8" ht="15.75" thickBot="1" x14ac:dyDescent="0.3">
      <c r="H766" s="128">
        <v>40</v>
      </c>
    </row>
    <row r="767" spans="8:8" ht="15.75" thickBot="1" x14ac:dyDescent="0.3">
      <c r="H767" s="128">
        <v>6025</v>
      </c>
    </row>
    <row r="768" spans="8:8" ht="15.75" thickBot="1" x14ac:dyDescent="0.3">
      <c r="H768" s="128">
        <v>5230</v>
      </c>
    </row>
    <row r="769" spans="8:8" ht="15.75" thickBot="1" x14ac:dyDescent="0.3">
      <c r="H769" s="128">
        <v>4715</v>
      </c>
    </row>
    <row r="770" spans="8:8" ht="15.75" thickBot="1" x14ac:dyDescent="0.3">
      <c r="H770" s="128">
        <v>6989</v>
      </c>
    </row>
    <row r="771" spans="8:8" ht="15.75" thickBot="1" x14ac:dyDescent="0.3">
      <c r="H771" s="128">
        <v>379</v>
      </c>
    </row>
    <row r="772" spans="8:8" ht="15.75" thickBot="1" x14ac:dyDescent="0.3">
      <c r="H772" s="128">
        <v>7600</v>
      </c>
    </row>
    <row r="773" spans="8:8" ht="15.75" thickBot="1" x14ac:dyDescent="0.3">
      <c r="H773" s="128">
        <v>6075</v>
      </c>
    </row>
    <row r="774" spans="8:8" ht="15.75" thickBot="1" x14ac:dyDescent="0.3">
      <c r="H774" s="128">
        <v>137</v>
      </c>
    </row>
    <row r="775" spans="8:8" ht="15.75" thickBot="1" x14ac:dyDescent="0.3">
      <c r="H775" s="128">
        <v>8038</v>
      </c>
    </row>
    <row r="776" spans="8:8" ht="15.75" thickBot="1" x14ac:dyDescent="0.3">
      <c r="H776" s="128">
        <v>7180</v>
      </c>
    </row>
    <row r="777" spans="8:8" ht="15.75" thickBot="1" x14ac:dyDescent="0.3">
      <c r="H777" s="128">
        <v>4474</v>
      </c>
    </row>
    <row r="778" spans="8:8" ht="15.75" thickBot="1" x14ac:dyDescent="0.3">
      <c r="H778" s="128">
        <v>1673</v>
      </c>
    </row>
    <row r="779" spans="8:8" ht="15.75" thickBot="1" x14ac:dyDescent="0.3">
      <c r="H779" s="128">
        <v>2251</v>
      </c>
    </row>
    <row r="780" spans="8:8" ht="15.75" thickBot="1" x14ac:dyDescent="0.3">
      <c r="H780" s="128">
        <v>1912</v>
      </c>
    </row>
    <row r="781" spans="8:8" ht="15.75" thickBot="1" x14ac:dyDescent="0.3">
      <c r="H781" s="128">
        <v>5481</v>
      </c>
    </row>
    <row r="782" spans="8:8" ht="15.75" thickBot="1" x14ac:dyDescent="0.3">
      <c r="H782" s="128">
        <v>8816</v>
      </c>
    </row>
    <row r="783" spans="8:8" ht="15.75" thickBot="1" x14ac:dyDescent="0.3">
      <c r="H783" s="128">
        <v>6906</v>
      </c>
    </row>
    <row r="784" spans="8:8" ht="15.75" thickBot="1" x14ac:dyDescent="0.3">
      <c r="H784" s="128">
        <v>5115</v>
      </c>
    </row>
    <row r="785" spans="8:8" ht="15.75" thickBot="1" x14ac:dyDescent="0.3">
      <c r="H785" s="128">
        <v>231</v>
      </c>
    </row>
    <row r="786" spans="8:8" ht="15.75" thickBot="1" x14ac:dyDescent="0.3">
      <c r="H786" s="128">
        <v>8701</v>
      </c>
    </row>
    <row r="787" spans="8:8" ht="15.75" thickBot="1" x14ac:dyDescent="0.3">
      <c r="H787" s="128">
        <v>6045</v>
      </c>
    </row>
    <row r="788" spans="8:8" ht="15.75" thickBot="1" x14ac:dyDescent="0.3">
      <c r="H788" s="128">
        <v>3021</v>
      </c>
    </row>
    <row r="789" spans="8:8" ht="15.75" thickBot="1" x14ac:dyDescent="0.3">
      <c r="H789" s="128">
        <v>6843</v>
      </c>
    </row>
    <row r="790" spans="8:8" ht="15.75" thickBot="1" x14ac:dyDescent="0.3">
      <c r="H790" s="128">
        <v>980</v>
      </c>
    </row>
    <row r="791" spans="8:8" ht="15.75" thickBot="1" x14ac:dyDescent="0.3">
      <c r="H791" s="128">
        <v>8898</v>
      </c>
    </row>
    <row r="792" spans="8:8" ht="15.75" thickBot="1" x14ac:dyDescent="0.3">
      <c r="H792" s="128">
        <v>2608</v>
      </c>
    </row>
    <row r="793" spans="8:8" ht="15.75" thickBot="1" x14ac:dyDescent="0.3">
      <c r="H793" s="128">
        <v>4395</v>
      </c>
    </row>
    <row r="794" spans="8:8" ht="15.75" thickBot="1" x14ac:dyDescent="0.3">
      <c r="H794" s="128">
        <v>1394</v>
      </c>
    </row>
    <row r="795" spans="8:8" ht="15.75" thickBot="1" x14ac:dyDescent="0.3">
      <c r="H795" s="128">
        <v>6280</v>
      </c>
    </row>
    <row r="796" spans="8:8" ht="15.75" thickBot="1" x14ac:dyDescent="0.3">
      <c r="H796" s="128">
        <v>1144</v>
      </c>
    </row>
    <row r="797" spans="8:8" ht="15.75" thickBot="1" x14ac:dyDescent="0.3">
      <c r="H797" s="128">
        <v>8173</v>
      </c>
    </row>
    <row r="798" spans="8:8" ht="15.75" thickBot="1" x14ac:dyDescent="0.3">
      <c r="H798" s="128">
        <v>5413</v>
      </c>
    </row>
    <row r="799" spans="8:8" ht="15.75" thickBot="1" x14ac:dyDescent="0.3">
      <c r="H799" s="128">
        <v>7305</v>
      </c>
    </row>
    <row r="800" spans="8:8" ht="15.75" thickBot="1" x14ac:dyDescent="0.3">
      <c r="H800" s="128">
        <v>2643</v>
      </c>
    </row>
    <row r="801" spans="8:8" ht="15.75" thickBot="1" x14ac:dyDescent="0.3">
      <c r="H801" s="128">
        <v>5960</v>
      </c>
    </row>
    <row r="802" spans="8:8" ht="15.75" thickBot="1" x14ac:dyDescent="0.3">
      <c r="H802" s="128">
        <v>5065</v>
      </c>
    </row>
    <row r="803" spans="8:8" ht="15.75" thickBot="1" x14ac:dyDescent="0.3">
      <c r="H803" s="128">
        <v>7468</v>
      </c>
    </row>
    <row r="804" spans="8:8" ht="15.75" thickBot="1" x14ac:dyDescent="0.3">
      <c r="H804" s="128">
        <v>360</v>
      </c>
    </row>
    <row r="805" spans="8:8" ht="15.75" thickBot="1" x14ac:dyDescent="0.3">
      <c r="H805" s="128">
        <v>5192</v>
      </c>
    </row>
    <row r="806" spans="8:8" ht="15.75" thickBot="1" x14ac:dyDescent="0.3">
      <c r="H806" s="128">
        <v>1518</v>
      </c>
    </row>
    <row r="807" spans="8:8" ht="15.75" thickBot="1" x14ac:dyDescent="0.3">
      <c r="H807" s="128">
        <v>6079</v>
      </c>
    </row>
    <row r="808" spans="8:8" ht="15.75" thickBot="1" x14ac:dyDescent="0.3">
      <c r="H808" s="128">
        <v>4274</v>
      </c>
    </row>
    <row r="809" spans="8:8" ht="15.75" thickBot="1" x14ac:dyDescent="0.3">
      <c r="H809" s="128">
        <v>8422</v>
      </c>
    </row>
    <row r="810" spans="8:8" ht="15.75" thickBot="1" x14ac:dyDescent="0.3">
      <c r="H810" s="128">
        <v>2767</v>
      </c>
    </row>
    <row r="811" spans="8:8" ht="15.75" thickBot="1" x14ac:dyDescent="0.3">
      <c r="H811" s="128">
        <v>3187</v>
      </c>
    </row>
    <row r="812" spans="8:8" ht="15.75" thickBot="1" x14ac:dyDescent="0.3">
      <c r="H812" s="128">
        <v>2151</v>
      </c>
    </row>
    <row r="813" spans="8:8" ht="15.75" thickBot="1" x14ac:dyDescent="0.3">
      <c r="H813" s="128">
        <v>6670</v>
      </c>
    </row>
    <row r="814" spans="8:8" ht="15.75" thickBot="1" x14ac:dyDescent="0.3">
      <c r="H814" s="128">
        <v>1024</v>
      </c>
    </row>
    <row r="815" spans="8:8" ht="15.75" thickBot="1" x14ac:dyDescent="0.3">
      <c r="H815" s="128">
        <v>8837</v>
      </c>
    </row>
    <row r="816" spans="8:8" ht="15.75" thickBot="1" x14ac:dyDescent="0.3">
      <c r="H816" s="128">
        <v>665</v>
      </c>
    </row>
    <row r="817" spans="8:8" ht="15.75" thickBot="1" x14ac:dyDescent="0.3">
      <c r="H817" s="128">
        <v>59</v>
      </c>
    </row>
    <row r="818" spans="8:8" ht="15.75" thickBot="1" x14ac:dyDescent="0.3">
      <c r="H818" s="128">
        <v>5904</v>
      </c>
    </row>
    <row r="819" spans="8:8" ht="15.75" thickBot="1" x14ac:dyDescent="0.3">
      <c r="H819" s="128">
        <v>1825</v>
      </c>
    </row>
    <row r="820" spans="8:8" ht="15.75" thickBot="1" x14ac:dyDescent="0.3">
      <c r="H820" s="128">
        <v>527</v>
      </c>
    </row>
    <row r="821" spans="8:8" ht="15.75" thickBot="1" x14ac:dyDescent="0.3">
      <c r="H821" s="128">
        <v>5897</v>
      </c>
    </row>
    <row r="822" spans="8:8" ht="15.75" thickBot="1" x14ac:dyDescent="0.3">
      <c r="H822" s="128">
        <v>4532</v>
      </c>
    </row>
    <row r="823" spans="8:8" ht="15.75" thickBot="1" x14ac:dyDescent="0.3">
      <c r="H823" s="128">
        <v>670</v>
      </c>
    </row>
    <row r="824" spans="8:8" ht="15.75" thickBot="1" x14ac:dyDescent="0.3">
      <c r="H824" s="128">
        <v>3171</v>
      </c>
    </row>
    <row r="825" spans="8:8" ht="15.75" thickBot="1" x14ac:dyDescent="0.3">
      <c r="H825" s="128">
        <v>5747</v>
      </c>
    </row>
    <row r="826" spans="8:8" ht="15.75" thickBot="1" x14ac:dyDescent="0.3">
      <c r="H826" s="128">
        <v>2483</v>
      </c>
    </row>
    <row r="827" spans="8:8" ht="15.75" thickBot="1" x14ac:dyDescent="0.3">
      <c r="H827" s="128">
        <v>8032</v>
      </c>
    </row>
    <row r="828" spans="8:8" ht="15.75" thickBot="1" x14ac:dyDescent="0.3">
      <c r="H828" s="128">
        <v>3605</v>
      </c>
    </row>
    <row r="829" spans="8:8" ht="15.75" thickBot="1" x14ac:dyDescent="0.3">
      <c r="H829" s="128">
        <v>2406</v>
      </c>
    </row>
    <row r="830" spans="8:8" ht="15.75" thickBot="1" x14ac:dyDescent="0.3">
      <c r="H830" s="128">
        <v>8043</v>
      </c>
    </row>
    <row r="831" spans="8:8" ht="15.75" thickBot="1" x14ac:dyDescent="0.3">
      <c r="H831" s="128">
        <v>8689</v>
      </c>
    </row>
    <row r="832" spans="8:8" ht="15.75" thickBot="1" x14ac:dyDescent="0.3">
      <c r="H832" s="128">
        <v>4615</v>
      </c>
    </row>
    <row r="833" spans="8:8" ht="15.75" thickBot="1" x14ac:dyDescent="0.3">
      <c r="H833" s="128">
        <v>8916</v>
      </c>
    </row>
    <row r="834" spans="8:8" ht="15.75" thickBot="1" x14ac:dyDescent="0.3">
      <c r="H834" s="128">
        <v>8667</v>
      </c>
    </row>
    <row r="835" spans="8:8" ht="15.75" thickBot="1" x14ac:dyDescent="0.3">
      <c r="H835" s="128">
        <v>6491</v>
      </c>
    </row>
    <row r="836" spans="8:8" ht="15.75" thickBot="1" x14ac:dyDescent="0.3">
      <c r="H836" s="128">
        <v>745</v>
      </c>
    </row>
    <row r="837" spans="8:8" ht="15.75" thickBot="1" x14ac:dyDescent="0.3">
      <c r="H837" s="128">
        <v>3531</v>
      </c>
    </row>
    <row r="838" spans="8:8" ht="15.75" thickBot="1" x14ac:dyDescent="0.3">
      <c r="H838" s="128">
        <v>3306</v>
      </c>
    </row>
    <row r="839" spans="8:8" ht="15.75" thickBot="1" x14ac:dyDescent="0.3">
      <c r="H839" s="128">
        <v>7212</v>
      </c>
    </row>
    <row r="840" spans="8:8" ht="15.75" thickBot="1" x14ac:dyDescent="0.3">
      <c r="H840" s="128">
        <v>4383</v>
      </c>
    </row>
    <row r="841" spans="8:8" ht="15.75" thickBot="1" x14ac:dyDescent="0.3">
      <c r="H841" s="128">
        <v>6152</v>
      </c>
    </row>
    <row r="842" spans="8:8" ht="15.75" thickBot="1" x14ac:dyDescent="0.3">
      <c r="H842" s="128">
        <v>3705</v>
      </c>
    </row>
    <row r="843" spans="8:8" ht="15.75" thickBot="1" x14ac:dyDescent="0.3">
      <c r="H843" s="128">
        <v>583</v>
      </c>
    </row>
    <row r="844" spans="8:8" ht="15.75" thickBot="1" x14ac:dyDescent="0.3">
      <c r="H844" s="128">
        <v>6833</v>
      </c>
    </row>
    <row r="845" spans="8:8" ht="15.75" thickBot="1" x14ac:dyDescent="0.3">
      <c r="H845" s="128">
        <v>7673</v>
      </c>
    </row>
    <row r="846" spans="8:8" ht="15.75" thickBot="1" x14ac:dyDescent="0.3">
      <c r="H846" s="128">
        <v>6996</v>
      </c>
    </row>
    <row r="847" spans="8:8" ht="15.75" thickBot="1" x14ac:dyDescent="0.3">
      <c r="H847" s="128">
        <v>2757</v>
      </c>
    </row>
    <row r="848" spans="8:8" ht="15.75" thickBot="1" x14ac:dyDescent="0.3">
      <c r="H848" s="128">
        <v>2055</v>
      </c>
    </row>
    <row r="849" spans="8:8" ht="15.75" thickBot="1" x14ac:dyDescent="0.3">
      <c r="H849" s="128">
        <v>8160</v>
      </c>
    </row>
    <row r="850" spans="8:8" ht="15.75" thickBot="1" x14ac:dyDescent="0.3">
      <c r="H850" s="128">
        <v>4416</v>
      </c>
    </row>
    <row r="851" spans="8:8" ht="15.75" thickBot="1" x14ac:dyDescent="0.3">
      <c r="H851" s="128">
        <v>7474</v>
      </c>
    </row>
    <row r="852" spans="8:8" ht="15.75" thickBot="1" x14ac:dyDescent="0.3">
      <c r="H852" s="128">
        <v>56</v>
      </c>
    </row>
    <row r="853" spans="8:8" ht="15.75" thickBot="1" x14ac:dyDescent="0.3">
      <c r="H853" s="128">
        <v>2845</v>
      </c>
    </row>
    <row r="854" spans="8:8" ht="15.75" thickBot="1" x14ac:dyDescent="0.3">
      <c r="H854" s="128">
        <v>1568</v>
      </c>
    </row>
    <row r="855" spans="8:8" ht="15.75" thickBot="1" x14ac:dyDescent="0.3">
      <c r="H855" s="128">
        <v>7180</v>
      </c>
    </row>
    <row r="856" spans="8:8" ht="15.75" thickBot="1" x14ac:dyDescent="0.3">
      <c r="H856" s="128">
        <v>7026</v>
      </c>
    </row>
    <row r="857" spans="8:8" ht="15.75" thickBot="1" x14ac:dyDescent="0.3">
      <c r="H857" s="128">
        <v>309</v>
      </c>
    </row>
    <row r="858" spans="8:8" ht="15.75" thickBot="1" x14ac:dyDescent="0.3">
      <c r="H858" s="128">
        <v>4073</v>
      </c>
    </row>
    <row r="859" spans="8:8" ht="15.75" thickBot="1" x14ac:dyDescent="0.3">
      <c r="H859" s="128">
        <v>419</v>
      </c>
    </row>
    <row r="860" spans="8:8" ht="15.75" thickBot="1" x14ac:dyDescent="0.3">
      <c r="H860" s="128">
        <v>8748</v>
      </c>
    </row>
    <row r="861" spans="8:8" ht="15.75" thickBot="1" x14ac:dyDescent="0.3">
      <c r="H861" s="128">
        <v>3280</v>
      </c>
    </row>
    <row r="862" spans="8:8" ht="15.75" thickBot="1" x14ac:dyDescent="0.3">
      <c r="H862" s="128">
        <v>2873</v>
      </c>
    </row>
    <row r="863" spans="8:8" ht="15.75" thickBot="1" x14ac:dyDescent="0.3">
      <c r="H863" s="128">
        <v>2793</v>
      </c>
    </row>
    <row r="864" spans="8:8" ht="15.75" thickBot="1" x14ac:dyDescent="0.3">
      <c r="H864" s="128">
        <v>7564</v>
      </c>
    </row>
    <row r="865" spans="8:8" ht="15.75" thickBot="1" x14ac:dyDescent="0.3">
      <c r="H865" s="128">
        <v>1786</v>
      </c>
    </row>
    <row r="866" spans="8:8" ht="15.75" thickBot="1" x14ac:dyDescent="0.3">
      <c r="H866" s="128">
        <v>1428</v>
      </c>
    </row>
    <row r="867" spans="8:8" ht="15.75" thickBot="1" x14ac:dyDescent="0.3">
      <c r="H867" s="128">
        <v>4728</v>
      </c>
    </row>
    <row r="868" spans="8:8" ht="15.75" thickBot="1" x14ac:dyDescent="0.3">
      <c r="H868" s="128">
        <v>6032</v>
      </c>
    </row>
    <row r="869" spans="8:8" ht="15.75" thickBot="1" x14ac:dyDescent="0.3">
      <c r="H869" s="128">
        <v>8299</v>
      </c>
    </row>
    <row r="870" spans="8:8" ht="15.75" thickBot="1" x14ac:dyDescent="0.3">
      <c r="H870" s="128">
        <v>7538</v>
      </c>
    </row>
    <row r="871" spans="8:8" ht="15.75" thickBot="1" x14ac:dyDescent="0.3">
      <c r="H871" s="128">
        <v>4635</v>
      </c>
    </row>
    <row r="872" spans="8:8" ht="15.75" thickBot="1" x14ac:dyDescent="0.3">
      <c r="H872" s="128">
        <v>4108</v>
      </c>
    </row>
    <row r="873" spans="8:8" ht="15.75" thickBot="1" x14ac:dyDescent="0.3">
      <c r="H873" s="128">
        <v>8205</v>
      </c>
    </row>
    <row r="874" spans="8:8" ht="15.75" thickBot="1" x14ac:dyDescent="0.3">
      <c r="H874" s="128">
        <v>1056</v>
      </c>
    </row>
    <row r="875" spans="8:8" ht="15.75" thickBot="1" x14ac:dyDescent="0.3">
      <c r="H875" s="128">
        <v>238</v>
      </c>
    </row>
    <row r="876" spans="8:8" ht="15.75" thickBot="1" x14ac:dyDescent="0.3">
      <c r="H876" s="128">
        <v>8396</v>
      </c>
    </row>
    <row r="877" spans="8:8" ht="15.75" thickBot="1" x14ac:dyDescent="0.3">
      <c r="H877" s="128">
        <v>67</v>
      </c>
    </row>
    <row r="878" spans="8:8" ht="15.75" thickBot="1" x14ac:dyDescent="0.3">
      <c r="H878" s="128">
        <v>2364</v>
      </c>
    </row>
    <row r="879" spans="8:8" ht="15.75" thickBot="1" x14ac:dyDescent="0.3">
      <c r="H879" s="128">
        <v>5295</v>
      </c>
    </row>
    <row r="880" spans="8:8" ht="15.75" thickBot="1" x14ac:dyDescent="0.3">
      <c r="H880" s="128">
        <v>1507</v>
      </c>
    </row>
    <row r="881" spans="8:8" ht="15.75" thickBot="1" x14ac:dyDescent="0.3">
      <c r="H881" s="128">
        <v>4600</v>
      </c>
    </row>
    <row r="882" spans="8:8" ht="15.75" thickBot="1" x14ac:dyDescent="0.3">
      <c r="H882" s="128">
        <v>5617</v>
      </c>
    </row>
    <row r="883" spans="8:8" ht="15.75" thickBot="1" x14ac:dyDescent="0.3">
      <c r="H883" s="128">
        <v>2399</v>
      </c>
    </row>
    <row r="884" spans="8:8" ht="15.75" thickBot="1" x14ac:dyDescent="0.3">
      <c r="H884" s="128">
        <v>5019</v>
      </c>
    </row>
    <row r="885" spans="8:8" ht="15.75" thickBot="1" x14ac:dyDescent="0.3">
      <c r="H885" s="128">
        <v>7297</v>
      </c>
    </row>
    <row r="886" spans="8:8" ht="15.75" thickBot="1" x14ac:dyDescent="0.3">
      <c r="H886" s="128">
        <v>3678</v>
      </c>
    </row>
    <row r="887" spans="8:8" ht="15.75" thickBot="1" x14ac:dyDescent="0.3">
      <c r="H887" s="128">
        <v>8451</v>
      </c>
    </row>
    <row r="888" spans="8:8" ht="15.75" thickBot="1" x14ac:dyDescent="0.3">
      <c r="H888" s="128">
        <v>1384</v>
      </c>
    </row>
    <row r="889" spans="8:8" ht="15.75" thickBot="1" x14ac:dyDescent="0.3">
      <c r="H889" s="128">
        <v>1251</v>
      </c>
    </row>
    <row r="890" spans="8:8" ht="15.75" thickBot="1" x14ac:dyDescent="0.3">
      <c r="H890" s="128">
        <v>4151</v>
      </c>
    </row>
    <row r="891" spans="8:8" ht="15.75" thickBot="1" x14ac:dyDescent="0.3">
      <c r="H891" s="128">
        <v>6514</v>
      </c>
    </row>
    <row r="892" spans="8:8" ht="15.75" thickBot="1" x14ac:dyDescent="0.3">
      <c r="H892" s="128">
        <v>5577</v>
      </c>
    </row>
    <row r="893" spans="8:8" ht="15.75" thickBot="1" x14ac:dyDescent="0.3">
      <c r="H893" s="128">
        <v>1280</v>
      </c>
    </row>
    <row r="894" spans="8:8" ht="15.75" thickBot="1" x14ac:dyDescent="0.3">
      <c r="H894" s="128">
        <v>8360</v>
      </c>
    </row>
    <row r="895" spans="8:8" ht="15.75" thickBot="1" x14ac:dyDescent="0.3">
      <c r="H895" s="128">
        <v>5003</v>
      </c>
    </row>
    <row r="896" spans="8:8" ht="15.75" thickBot="1" x14ac:dyDescent="0.3">
      <c r="H896" s="128">
        <v>4723</v>
      </c>
    </row>
    <row r="897" spans="8:8" ht="15.75" thickBot="1" x14ac:dyDescent="0.3">
      <c r="H897" s="128">
        <v>7739</v>
      </c>
    </row>
    <row r="898" spans="8:8" ht="15.75" thickBot="1" x14ac:dyDescent="0.3">
      <c r="H898" s="128">
        <v>4975</v>
      </c>
    </row>
    <row r="899" spans="8:8" ht="15.75" thickBot="1" x14ac:dyDescent="0.3">
      <c r="H899" s="128">
        <v>7649</v>
      </c>
    </row>
    <row r="900" spans="8:8" ht="15.75" thickBot="1" x14ac:dyDescent="0.3">
      <c r="H900" s="128">
        <v>2176</v>
      </c>
    </row>
    <row r="901" spans="8:8" ht="15.75" thickBot="1" x14ac:dyDescent="0.3">
      <c r="H901" s="128">
        <v>761</v>
      </c>
    </row>
    <row r="902" spans="8:8" ht="15.75" thickBot="1" x14ac:dyDescent="0.3">
      <c r="H902" s="128">
        <v>8901</v>
      </c>
    </row>
    <row r="903" spans="8:8" ht="15.75" thickBot="1" x14ac:dyDescent="0.3">
      <c r="H903" s="128">
        <v>2599</v>
      </c>
    </row>
    <row r="904" spans="8:8" ht="15.75" thickBot="1" x14ac:dyDescent="0.3">
      <c r="H904" s="128">
        <v>3719</v>
      </c>
    </row>
    <row r="905" spans="8:8" ht="15.75" thickBot="1" x14ac:dyDescent="0.3">
      <c r="H905" s="128">
        <v>8154</v>
      </c>
    </row>
    <row r="906" spans="8:8" ht="15.75" thickBot="1" x14ac:dyDescent="0.3">
      <c r="H906" s="128">
        <v>4374</v>
      </c>
    </row>
    <row r="907" spans="8:8" ht="15.75" thickBot="1" x14ac:dyDescent="0.3">
      <c r="H907" s="128">
        <v>8123</v>
      </c>
    </row>
    <row r="908" spans="8:8" ht="15.75" thickBot="1" x14ac:dyDescent="0.3">
      <c r="H908" s="128">
        <v>8091</v>
      </c>
    </row>
    <row r="909" spans="8:8" ht="15.75" thickBot="1" x14ac:dyDescent="0.3">
      <c r="H909" s="128">
        <v>4841</v>
      </c>
    </row>
    <row r="910" spans="8:8" ht="15.75" thickBot="1" x14ac:dyDescent="0.3">
      <c r="H910" s="128">
        <v>953</v>
      </c>
    </row>
    <row r="911" spans="8:8" ht="15.75" thickBot="1" x14ac:dyDescent="0.3">
      <c r="H911" s="128">
        <v>5474</v>
      </c>
    </row>
    <row r="912" spans="8:8" ht="15.75" thickBot="1" x14ac:dyDescent="0.3">
      <c r="H912" s="128">
        <v>3256</v>
      </c>
    </row>
    <row r="913" spans="8:8" ht="15.75" thickBot="1" x14ac:dyDescent="0.3">
      <c r="H913" s="128">
        <v>4486</v>
      </c>
    </row>
    <row r="914" spans="8:8" ht="15.75" thickBot="1" x14ac:dyDescent="0.3">
      <c r="H914" s="128">
        <v>8101</v>
      </c>
    </row>
    <row r="915" spans="8:8" ht="15.75" thickBot="1" x14ac:dyDescent="0.3">
      <c r="H915" s="128">
        <v>8781</v>
      </c>
    </row>
    <row r="916" spans="8:8" ht="15.75" thickBot="1" x14ac:dyDescent="0.3">
      <c r="H916" s="128">
        <v>8155</v>
      </c>
    </row>
    <row r="917" spans="8:8" ht="15.75" thickBot="1" x14ac:dyDescent="0.3">
      <c r="H917" s="128">
        <v>6531</v>
      </c>
    </row>
    <row r="918" spans="8:8" ht="15.75" thickBot="1" x14ac:dyDescent="0.3">
      <c r="H918" s="128">
        <v>6698</v>
      </c>
    </row>
    <row r="919" spans="8:8" ht="15.75" thickBot="1" x14ac:dyDescent="0.3">
      <c r="H919" s="128">
        <v>3649</v>
      </c>
    </row>
    <row r="920" spans="8:8" ht="15.75" thickBot="1" x14ac:dyDescent="0.3">
      <c r="H920" s="128">
        <v>3985</v>
      </c>
    </row>
    <row r="921" spans="8:8" ht="15.75" thickBot="1" x14ac:dyDescent="0.3">
      <c r="H921" s="128">
        <v>3242</v>
      </c>
    </row>
    <row r="922" spans="8:8" ht="15.75" thickBot="1" x14ac:dyDescent="0.3">
      <c r="H922" s="128">
        <v>1091</v>
      </c>
    </row>
    <row r="923" spans="8:8" ht="15.75" thickBot="1" x14ac:dyDescent="0.3">
      <c r="H923" s="128">
        <v>5921</v>
      </c>
    </row>
    <row r="924" spans="8:8" ht="15.75" thickBot="1" x14ac:dyDescent="0.3">
      <c r="H924" s="128">
        <v>8732</v>
      </c>
    </row>
    <row r="925" spans="8:8" ht="15.75" thickBot="1" x14ac:dyDescent="0.3">
      <c r="H925" s="128">
        <v>3365</v>
      </c>
    </row>
    <row r="926" spans="8:8" ht="15.75" thickBot="1" x14ac:dyDescent="0.3">
      <c r="H926" s="128">
        <v>894</v>
      </c>
    </row>
    <row r="927" spans="8:8" ht="15.75" thickBot="1" x14ac:dyDescent="0.3">
      <c r="H927" s="128">
        <v>2668</v>
      </c>
    </row>
    <row r="928" spans="8:8" ht="15.75" thickBot="1" x14ac:dyDescent="0.3">
      <c r="H928" s="128">
        <v>3573</v>
      </c>
    </row>
    <row r="929" spans="8:8" ht="15.75" thickBot="1" x14ac:dyDescent="0.3">
      <c r="H929" s="128">
        <v>1195</v>
      </c>
    </row>
    <row r="930" spans="8:8" ht="15.75" thickBot="1" x14ac:dyDescent="0.3">
      <c r="H930" s="128">
        <v>6657</v>
      </c>
    </row>
    <row r="931" spans="8:8" ht="15.75" thickBot="1" x14ac:dyDescent="0.3">
      <c r="H931" s="128">
        <v>7915</v>
      </c>
    </row>
    <row r="932" spans="8:8" ht="15.75" thickBot="1" x14ac:dyDescent="0.3">
      <c r="H932" s="128">
        <v>8804</v>
      </c>
    </row>
    <row r="933" spans="8:8" ht="15.75" thickBot="1" x14ac:dyDescent="0.3">
      <c r="H933" s="128">
        <v>3072</v>
      </c>
    </row>
    <row r="934" spans="8:8" ht="15.75" thickBot="1" x14ac:dyDescent="0.3">
      <c r="H934" s="128">
        <v>5796</v>
      </c>
    </row>
    <row r="935" spans="8:8" ht="15.75" thickBot="1" x14ac:dyDescent="0.3">
      <c r="H935" s="128">
        <v>7198</v>
      </c>
    </row>
    <row r="936" spans="8:8" ht="15.75" thickBot="1" x14ac:dyDescent="0.3">
      <c r="H936" s="128">
        <v>7191</v>
      </c>
    </row>
    <row r="937" spans="8:8" ht="15.75" thickBot="1" x14ac:dyDescent="0.3">
      <c r="H937" s="128">
        <v>1113</v>
      </c>
    </row>
    <row r="938" spans="8:8" ht="15.75" thickBot="1" x14ac:dyDescent="0.3">
      <c r="H938" s="128">
        <v>8617</v>
      </c>
    </row>
    <row r="939" spans="8:8" ht="15.75" thickBot="1" x14ac:dyDescent="0.3">
      <c r="H939" s="128">
        <v>7873</v>
      </c>
    </row>
    <row r="940" spans="8:8" ht="15.75" thickBot="1" x14ac:dyDescent="0.3">
      <c r="H940" s="128">
        <v>1030</v>
      </c>
    </row>
    <row r="941" spans="8:8" ht="15.75" thickBot="1" x14ac:dyDescent="0.3">
      <c r="H941" s="128">
        <v>8975</v>
      </c>
    </row>
    <row r="942" spans="8:8" ht="15.75" thickBot="1" x14ac:dyDescent="0.3">
      <c r="H942" s="128">
        <v>1789</v>
      </c>
    </row>
    <row r="943" spans="8:8" ht="15.75" thickBot="1" x14ac:dyDescent="0.3">
      <c r="H943" s="128">
        <v>2975</v>
      </c>
    </row>
    <row r="944" spans="8:8" ht="15.75" thickBot="1" x14ac:dyDescent="0.3">
      <c r="H944" s="128">
        <v>4266</v>
      </c>
    </row>
    <row r="945" spans="8:8" ht="15.75" thickBot="1" x14ac:dyDescent="0.3">
      <c r="H945" s="128">
        <v>8366</v>
      </c>
    </row>
    <row r="946" spans="8:8" ht="15.75" thickBot="1" x14ac:dyDescent="0.3">
      <c r="H946" s="128">
        <v>3535</v>
      </c>
    </row>
    <row r="947" spans="8:8" ht="15.75" thickBot="1" x14ac:dyDescent="0.3">
      <c r="H947" s="128">
        <v>3166</v>
      </c>
    </row>
    <row r="948" spans="8:8" ht="15.75" thickBot="1" x14ac:dyDescent="0.3">
      <c r="H948" s="128">
        <v>2079</v>
      </c>
    </row>
    <row r="949" spans="8:8" ht="15.75" thickBot="1" x14ac:dyDescent="0.3">
      <c r="H949" s="128">
        <v>8997</v>
      </c>
    </row>
    <row r="950" spans="8:8" ht="15.75" thickBot="1" x14ac:dyDescent="0.3">
      <c r="H950" s="128">
        <v>5113</v>
      </c>
    </row>
    <row r="951" spans="8:8" ht="15.75" thickBot="1" x14ac:dyDescent="0.3">
      <c r="H951" s="128">
        <v>222</v>
      </c>
    </row>
    <row r="952" spans="8:8" ht="15.75" thickBot="1" x14ac:dyDescent="0.3">
      <c r="H952" s="128">
        <v>4918</v>
      </c>
    </row>
    <row r="953" spans="8:8" ht="15.75" thickBot="1" x14ac:dyDescent="0.3">
      <c r="H953" s="128">
        <v>8678</v>
      </c>
    </row>
    <row r="954" spans="8:8" ht="15.75" thickBot="1" x14ac:dyDescent="0.3">
      <c r="H954" s="128">
        <v>7338</v>
      </c>
    </row>
    <row r="955" spans="8:8" ht="15.75" thickBot="1" x14ac:dyDescent="0.3">
      <c r="H955" s="128">
        <v>3028</v>
      </c>
    </row>
    <row r="956" spans="8:8" ht="15.75" thickBot="1" x14ac:dyDescent="0.3">
      <c r="H956" s="128">
        <v>8146</v>
      </c>
    </row>
    <row r="957" spans="8:8" ht="15.75" thickBot="1" x14ac:dyDescent="0.3">
      <c r="H957" s="128">
        <v>7033</v>
      </c>
    </row>
    <row r="958" spans="8:8" ht="15.75" thickBot="1" x14ac:dyDescent="0.3">
      <c r="H958" s="128">
        <v>4626</v>
      </c>
    </row>
    <row r="959" spans="8:8" ht="15.75" thickBot="1" x14ac:dyDescent="0.3">
      <c r="H959" s="128">
        <v>791</v>
      </c>
    </row>
    <row r="960" spans="8:8" ht="15.75" thickBot="1" x14ac:dyDescent="0.3">
      <c r="H960" s="128">
        <v>1386</v>
      </c>
    </row>
    <row r="961" spans="8:8" ht="15.75" thickBot="1" x14ac:dyDescent="0.3">
      <c r="H961" s="128">
        <v>2966</v>
      </c>
    </row>
    <row r="962" spans="8:8" ht="15.75" thickBot="1" x14ac:dyDescent="0.3">
      <c r="H962" s="128">
        <v>2485</v>
      </c>
    </row>
    <row r="963" spans="8:8" ht="15.75" thickBot="1" x14ac:dyDescent="0.3">
      <c r="H963" s="128">
        <v>2201</v>
      </c>
    </row>
    <row r="964" spans="8:8" ht="15.75" thickBot="1" x14ac:dyDescent="0.3">
      <c r="H964" s="128">
        <v>2198</v>
      </c>
    </row>
    <row r="965" spans="8:8" ht="15.75" thickBot="1" x14ac:dyDescent="0.3">
      <c r="H965" s="128">
        <v>2079</v>
      </c>
    </row>
    <row r="966" spans="8:8" ht="15.75" thickBot="1" x14ac:dyDescent="0.3">
      <c r="H966" s="128">
        <v>1414</v>
      </c>
    </row>
    <row r="967" spans="8:8" ht="15.75" thickBot="1" x14ac:dyDescent="0.3">
      <c r="H967" s="128">
        <v>1161</v>
      </c>
    </row>
    <row r="968" spans="8:8" ht="15.75" thickBot="1" x14ac:dyDescent="0.3">
      <c r="H968" s="128">
        <v>289</v>
      </c>
    </row>
    <row r="969" spans="8:8" ht="15.75" thickBot="1" x14ac:dyDescent="0.3">
      <c r="H969" s="128">
        <v>4336</v>
      </c>
    </row>
    <row r="970" spans="8:8" ht="15.75" thickBot="1" x14ac:dyDescent="0.3">
      <c r="H970" s="128">
        <v>2843</v>
      </c>
    </row>
    <row r="971" spans="8:8" ht="15.75" thickBot="1" x14ac:dyDescent="0.3">
      <c r="H971" s="128">
        <v>1362</v>
      </c>
    </row>
    <row r="972" spans="8:8" ht="15.75" thickBot="1" x14ac:dyDescent="0.3">
      <c r="H972" s="128">
        <v>5952</v>
      </c>
    </row>
    <row r="973" spans="8:8" ht="15.75" thickBot="1" x14ac:dyDescent="0.3">
      <c r="H973" s="128">
        <v>6710</v>
      </c>
    </row>
    <row r="974" spans="8:8" ht="15.75" thickBot="1" x14ac:dyDescent="0.3">
      <c r="H974" s="128">
        <v>6512</v>
      </c>
    </row>
    <row r="975" spans="8:8" ht="15.75" thickBot="1" x14ac:dyDescent="0.3">
      <c r="H975" s="128">
        <v>4086</v>
      </c>
    </row>
    <row r="976" spans="8:8" ht="15.75" thickBot="1" x14ac:dyDescent="0.3">
      <c r="H976" s="128">
        <v>1772</v>
      </c>
    </row>
    <row r="977" spans="8:8" ht="15.75" thickBot="1" x14ac:dyDescent="0.3">
      <c r="H977" s="128">
        <v>7684</v>
      </c>
    </row>
    <row r="978" spans="8:8" ht="15.75" thickBot="1" x14ac:dyDescent="0.3">
      <c r="H978" s="128">
        <v>1638</v>
      </c>
    </row>
    <row r="979" spans="8:8" ht="15.75" thickBot="1" x14ac:dyDescent="0.3">
      <c r="H979" s="128">
        <v>1840</v>
      </c>
    </row>
    <row r="980" spans="8:8" ht="15.75" thickBot="1" x14ac:dyDescent="0.3">
      <c r="H980" s="128">
        <v>1566</v>
      </c>
    </row>
    <row r="981" spans="8:8" ht="15.75" thickBot="1" x14ac:dyDescent="0.3">
      <c r="H981" s="128">
        <v>8910</v>
      </c>
    </row>
    <row r="982" spans="8:8" ht="15.75" thickBot="1" x14ac:dyDescent="0.3">
      <c r="H982" s="128">
        <v>1025</v>
      </c>
    </row>
    <row r="983" spans="8:8" ht="15.75" thickBot="1" x14ac:dyDescent="0.3">
      <c r="H983" s="128">
        <v>7052</v>
      </c>
    </row>
    <row r="984" spans="8:8" ht="15.75" thickBot="1" x14ac:dyDescent="0.3">
      <c r="H984" s="128">
        <v>3548</v>
      </c>
    </row>
    <row r="985" spans="8:8" ht="15.75" thickBot="1" x14ac:dyDescent="0.3">
      <c r="H985" s="128">
        <v>217</v>
      </c>
    </row>
    <row r="986" spans="8:8" ht="15.75" thickBot="1" x14ac:dyDescent="0.3">
      <c r="H986" s="128">
        <v>463</v>
      </c>
    </row>
    <row r="987" spans="8:8" ht="15.75" thickBot="1" x14ac:dyDescent="0.3">
      <c r="H987" s="128">
        <v>4169</v>
      </c>
    </row>
    <row r="988" spans="8:8" ht="15.75" thickBot="1" x14ac:dyDescent="0.3">
      <c r="H988" s="128">
        <v>1080</v>
      </c>
    </row>
    <row r="989" spans="8:8" ht="15.75" thickBot="1" x14ac:dyDescent="0.3">
      <c r="H989" s="128">
        <v>4816</v>
      </c>
    </row>
    <row r="990" spans="8:8" ht="15.75" thickBot="1" x14ac:dyDescent="0.3">
      <c r="H990" s="128">
        <v>3423</v>
      </c>
    </row>
    <row r="991" spans="8:8" ht="15.75" thickBot="1" x14ac:dyDescent="0.3">
      <c r="H991" s="128">
        <v>4641</v>
      </c>
    </row>
    <row r="992" spans="8:8" ht="15.75" thickBot="1" x14ac:dyDescent="0.3">
      <c r="H992" s="128">
        <v>8341</v>
      </c>
    </row>
    <row r="993" spans="8:8" ht="15.75" thickBot="1" x14ac:dyDescent="0.3">
      <c r="H993" s="128">
        <v>4415</v>
      </c>
    </row>
    <row r="994" spans="8:8" ht="15.75" thickBot="1" x14ac:dyDescent="0.3">
      <c r="H994" s="128">
        <v>3826</v>
      </c>
    </row>
    <row r="995" spans="8:8" ht="15.75" thickBot="1" x14ac:dyDescent="0.3">
      <c r="H995" s="128">
        <v>7011</v>
      </c>
    </row>
    <row r="996" spans="8:8" ht="15.75" thickBot="1" x14ac:dyDescent="0.3">
      <c r="H996" s="128">
        <v>5922</v>
      </c>
    </row>
    <row r="997" spans="8:8" ht="15.75" thickBot="1" x14ac:dyDescent="0.3">
      <c r="H997" s="128">
        <v>2697</v>
      </c>
    </row>
    <row r="998" spans="8:8" ht="15.75" thickBot="1" x14ac:dyDescent="0.3">
      <c r="H998" s="128">
        <v>7996</v>
      </c>
    </row>
    <row r="999" spans="8:8" ht="15.75" thickBot="1" x14ac:dyDescent="0.3">
      <c r="H999" s="128">
        <v>4137</v>
      </c>
    </row>
    <row r="1000" spans="8:8" ht="15.75" thickBot="1" x14ac:dyDescent="0.3">
      <c r="H1000" s="128">
        <v>4321</v>
      </c>
    </row>
    <row r="1001" spans="8:8" ht="15.75" thickBot="1" x14ac:dyDescent="0.3">
      <c r="H1001" s="128">
        <v>1480</v>
      </c>
    </row>
    <row r="1002" spans="8:8" ht="15.75" thickBot="1" x14ac:dyDescent="0.3">
      <c r="H1002" s="128">
        <v>3025</v>
      </c>
    </row>
    <row r="1003" spans="8:8" ht="15.75" thickBot="1" x14ac:dyDescent="0.3">
      <c r="H1003" s="128">
        <v>4505</v>
      </c>
    </row>
    <row r="1004" spans="8:8" ht="15.75" thickBot="1" x14ac:dyDescent="0.3">
      <c r="H1004" s="128">
        <v>3133</v>
      </c>
    </row>
    <row r="1005" spans="8:8" ht="15.75" thickBot="1" x14ac:dyDescent="0.3">
      <c r="H1005" s="128">
        <v>8457</v>
      </c>
    </row>
    <row r="1006" spans="8:8" ht="15.75" thickBot="1" x14ac:dyDescent="0.3">
      <c r="H1006" s="128">
        <v>8088</v>
      </c>
    </row>
    <row r="1007" spans="8:8" ht="15.75" thickBot="1" x14ac:dyDescent="0.3">
      <c r="H1007" s="128">
        <v>2452</v>
      </c>
    </row>
    <row r="1008" spans="8:8" ht="15.75" thickBot="1" x14ac:dyDescent="0.3">
      <c r="H1008" s="128">
        <v>624</v>
      </c>
    </row>
    <row r="1009" spans="8:8" ht="15.75" thickBot="1" x14ac:dyDescent="0.3">
      <c r="H1009" s="128">
        <v>3061</v>
      </c>
    </row>
    <row r="1010" spans="8:8" ht="15.75" thickBot="1" x14ac:dyDescent="0.3">
      <c r="H1010" s="128">
        <v>8807</v>
      </c>
    </row>
    <row r="1011" spans="8:8" ht="15.75" thickBot="1" x14ac:dyDescent="0.3">
      <c r="H1011" s="128">
        <v>5060</v>
      </c>
    </row>
    <row r="1012" spans="8:8" ht="15.75" thickBot="1" x14ac:dyDescent="0.3">
      <c r="H1012" s="128">
        <v>8646</v>
      </c>
    </row>
    <row r="1013" spans="8:8" ht="15.75" thickBot="1" x14ac:dyDescent="0.3">
      <c r="H1013" s="128">
        <v>6708</v>
      </c>
    </row>
    <row r="1014" spans="8:8" ht="15.75" thickBot="1" x14ac:dyDescent="0.3">
      <c r="H1014" s="128">
        <v>6039</v>
      </c>
    </row>
    <row r="1015" spans="8:8" ht="15.75" thickBot="1" x14ac:dyDescent="0.3">
      <c r="H1015" s="128">
        <v>8878</v>
      </c>
    </row>
    <row r="1016" spans="8:8" ht="15.75" thickBot="1" x14ac:dyDescent="0.3">
      <c r="H1016" s="128">
        <v>2520</v>
      </c>
    </row>
    <row r="1017" spans="8:8" ht="15.75" thickBot="1" x14ac:dyDescent="0.3">
      <c r="H1017" s="128">
        <v>1606</v>
      </c>
    </row>
    <row r="1018" spans="8:8" ht="15.75" thickBot="1" x14ac:dyDescent="0.3">
      <c r="H1018" s="128">
        <v>4568</v>
      </c>
    </row>
    <row r="1019" spans="8:8" ht="15.75" thickBot="1" x14ac:dyDescent="0.3">
      <c r="H1019" s="128">
        <v>8949</v>
      </c>
    </row>
    <row r="1020" spans="8:8" ht="15.75" thickBot="1" x14ac:dyDescent="0.3">
      <c r="H1020" s="128">
        <v>8311</v>
      </c>
    </row>
    <row r="1021" spans="8:8" ht="15.75" thickBot="1" x14ac:dyDescent="0.3">
      <c r="H1021" s="128">
        <v>5470</v>
      </c>
    </row>
    <row r="1022" spans="8:8" ht="15.75" thickBot="1" x14ac:dyDescent="0.3">
      <c r="H1022" s="128">
        <v>8677</v>
      </c>
    </row>
    <row r="1023" spans="8:8" ht="15.75" thickBot="1" x14ac:dyDescent="0.3">
      <c r="H1023" s="128">
        <v>4552</v>
      </c>
    </row>
    <row r="1024" spans="8:8" ht="15.75" thickBot="1" x14ac:dyDescent="0.3">
      <c r="H1024" s="128">
        <v>6389</v>
      </c>
    </row>
    <row r="1025" spans="8:8" ht="15.75" thickBot="1" x14ac:dyDescent="0.3">
      <c r="H1025" s="128">
        <v>1141</v>
      </c>
    </row>
    <row r="1026" spans="8:8" ht="15.75" thickBot="1" x14ac:dyDescent="0.3">
      <c r="H1026" s="128">
        <v>7703</v>
      </c>
    </row>
    <row r="1027" spans="8:8" ht="15.75" thickBot="1" x14ac:dyDescent="0.3">
      <c r="H1027" s="128">
        <v>3009</v>
      </c>
    </row>
    <row r="1028" spans="8:8" ht="15.75" thickBot="1" x14ac:dyDescent="0.3">
      <c r="H1028" s="128">
        <v>412</v>
      </c>
    </row>
    <row r="1029" spans="8:8" ht="15.75" thickBot="1" x14ac:dyDescent="0.3">
      <c r="H1029" s="128">
        <v>8113</v>
      </c>
    </row>
    <row r="1030" spans="8:8" ht="15.75" thickBot="1" x14ac:dyDescent="0.3">
      <c r="H1030" s="128">
        <v>2970</v>
      </c>
    </row>
    <row r="1031" spans="8:8" ht="15.75" thickBot="1" x14ac:dyDescent="0.3">
      <c r="H1031" s="128">
        <v>465</v>
      </c>
    </row>
    <row r="1032" spans="8:8" ht="15.75" thickBot="1" x14ac:dyDescent="0.3">
      <c r="H1032" s="128">
        <v>829</v>
      </c>
    </row>
    <row r="1033" spans="8:8" ht="15.75" thickBot="1" x14ac:dyDescent="0.3">
      <c r="H1033" s="128">
        <v>2709</v>
      </c>
    </row>
    <row r="1034" spans="8:8" ht="15.75" thickBot="1" x14ac:dyDescent="0.3">
      <c r="H1034" s="128">
        <v>3441</v>
      </c>
    </row>
    <row r="1035" spans="8:8" ht="15.75" thickBot="1" x14ac:dyDescent="0.3">
      <c r="H1035" s="128">
        <v>231</v>
      </c>
    </row>
    <row r="1036" spans="8:8" ht="15.75" thickBot="1" x14ac:dyDescent="0.3">
      <c r="H1036" s="128">
        <v>2529</v>
      </c>
    </row>
    <row r="1037" spans="8:8" ht="15.75" thickBot="1" x14ac:dyDescent="0.3">
      <c r="H1037" s="128">
        <v>8269</v>
      </c>
    </row>
    <row r="1038" spans="8:8" ht="15.75" thickBot="1" x14ac:dyDescent="0.3">
      <c r="H1038" s="128">
        <v>3767</v>
      </c>
    </row>
    <row r="1039" spans="8:8" ht="15.75" thickBot="1" x14ac:dyDescent="0.3">
      <c r="H1039" s="128">
        <v>7757</v>
      </c>
    </row>
    <row r="1040" spans="8:8" ht="15.75" thickBot="1" x14ac:dyDescent="0.3">
      <c r="H1040" s="128">
        <v>7869</v>
      </c>
    </row>
    <row r="1041" spans="8:8" ht="15.75" thickBot="1" x14ac:dyDescent="0.3">
      <c r="H1041" s="128">
        <v>8641</v>
      </c>
    </row>
    <row r="1042" spans="8:8" ht="15.75" thickBot="1" x14ac:dyDescent="0.3">
      <c r="H1042" s="128">
        <v>4118</v>
      </c>
    </row>
    <row r="1043" spans="8:8" ht="15.75" thickBot="1" x14ac:dyDescent="0.3">
      <c r="H1043" s="128">
        <v>8463</v>
      </c>
    </row>
    <row r="1044" spans="8:8" ht="15.75" thickBot="1" x14ac:dyDescent="0.3">
      <c r="H1044" s="128">
        <v>1475</v>
      </c>
    </row>
    <row r="1045" spans="8:8" ht="15.75" thickBot="1" x14ac:dyDescent="0.3">
      <c r="H1045" s="128">
        <v>7321</v>
      </c>
    </row>
    <row r="1046" spans="8:8" ht="15.75" thickBot="1" x14ac:dyDescent="0.3">
      <c r="H1046" s="128">
        <v>4909</v>
      </c>
    </row>
    <row r="1047" spans="8:8" ht="15.75" thickBot="1" x14ac:dyDescent="0.3">
      <c r="H1047" s="128">
        <v>5069</v>
      </c>
    </row>
    <row r="1048" spans="8:8" ht="15.75" thickBot="1" x14ac:dyDescent="0.3">
      <c r="H1048" s="128">
        <v>2875</v>
      </c>
    </row>
    <row r="1049" spans="8:8" ht="15.75" thickBot="1" x14ac:dyDescent="0.3">
      <c r="H1049" s="128">
        <v>8829</v>
      </c>
    </row>
    <row r="1050" spans="8:8" ht="15.75" thickBot="1" x14ac:dyDescent="0.3">
      <c r="H1050" s="128">
        <v>4984</v>
      </c>
    </row>
    <row r="1051" spans="8:8" ht="15.75" thickBot="1" x14ac:dyDescent="0.3">
      <c r="H1051" s="128">
        <v>6069</v>
      </c>
    </row>
    <row r="1052" spans="8:8" ht="15.75" thickBot="1" x14ac:dyDescent="0.3">
      <c r="H1052" s="128">
        <v>1251</v>
      </c>
    </row>
    <row r="1053" spans="8:8" ht="15.75" thickBot="1" x14ac:dyDescent="0.3">
      <c r="H1053" s="128">
        <v>6692</v>
      </c>
    </row>
    <row r="1054" spans="8:8" ht="15.75" thickBot="1" x14ac:dyDescent="0.3">
      <c r="H1054" s="128">
        <v>2969</v>
      </c>
    </row>
    <row r="1055" spans="8:8" ht="15.75" thickBot="1" x14ac:dyDescent="0.3">
      <c r="H1055" s="128">
        <v>304</v>
      </c>
    </row>
    <row r="1056" spans="8:8" ht="15.75" thickBot="1" x14ac:dyDescent="0.3">
      <c r="H1056" s="128">
        <v>316</v>
      </c>
    </row>
    <row r="1057" spans="8:8" ht="15.75" thickBot="1" x14ac:dyDescent="0.3">
      <c r="H1057" s="128">
        <v>5645</v>
      </c>
    </row>
    <row r="1058" spans="8:8" ht="15.75" thickBot="1" x14ac:dyDescent="0.3">
      <c r="H1058" s="128">
        <v>6106</v>
      </c>
    </row>
    <row r="1059" spans="8:8" ht="15.75" thickBot="1" x14ac:dyDescent="0.3">
      <c r="H1059" s="128">
        <v>8906</v>
      </c>
    </row>
    <row r="1060" spans="8:8" ht="15.75" thickBot="1" x14ac:dyDescent="0.3">
      <c r="H1060" s="128">
        <v>454</v>
      </c>
    </row>
    <row r="1061" spans="8:8" ht="15.75" thickBot="1" x14ac:dyDescent="0.3">
      <c r="H1061" s="128">
        <v>410</v>
      </c>
    </row>
    <row r="1062" spans="8:8" ht="15.75" thickBot="1" x14ac:dyDescent="0.3">
      <c r="H1062" s="128">
        <v>264</v>
      </c>
    </row>
    <row r="1063" spans="8:8" ht="15.75" thickBot="1" x14ac:dyDescent="0.3">
      <c r="H1063" s="128">
        <v>4472</v>
      </c>
    </row>
    <row r="1064" spans="8:8" ht="15.75" thickBot="1" x14ac:dyDescent="0.3">
      <c r="H1064" s="128">
        <v>5365</v>
      </c>
    </row>
    <row r="1065" spans="8:8" ht="15.75" thickBot="1" x14ac:dyDescent="0.3">
      <c r="H1065" s="128">
        <v>1248</v>
      </c>
    </row>
    <row r="1066" spans="8:8" ht="15.75" thickBot="1" x14ac:dyDescent="0.3">
      <c r="H1066" s="128">
        <v>6252</v>
      </c>
    </row>
    <row r="1067" spans="8:8" ht="15.75" thickBot="1" x14ac:dyDescent="0.3">
      <c r="H1067" s="128">
        <v>2218</v>
      </c>
    </row>
    <row r="1068" spans="8:8" ht="15.75" thickBot="1" x14ac:dyDescent="0.3">
      <c r="H1068" s="128">
        <v>3251</v>
      </c>
    </row>
    <row r="1069" spans="8:8" ht="15.75" thickBot="1" x14ac:dyDescent="0.3">
      <c r="H1069" s="128">
        <v>8338</v>
      </c>
    </row>
    <row r="1070" spans="8:8" ht="15.75" thickBot="1" x14ac:dyDescent="0.3">
      <c r="H1070" s="128">
        <v>8672</v>
      </c>
    </row>
    <row r="1071" spans="8:8" ht="15.75" thickBot="1" x14ac:dyDescent="0.3">
      <c r="H1071" s="128">
        <v>977</v>
      </c>
    </row>
    <row r="1072" spans="8:8" ht="15.75" thickBot="1" x14ac:dyDescent="0.3">
      <c r="H1072" s="128">
        <v>3422</v>
      </c>
    </row>
    <row r="1073" spans="8:8" ht="15.75" thickBot="1" x14ac:dyDescent="0.3">
      <c r="H1073" s="128">
        <v>1788</v>
      </c>
    </row>
    <row r="1074" spans="8:8" ht="15.75" thickBot="1" x14ac:dyDescent="0.3">
      <c r="H1074" s="128">
        <v>5926</v>
      </c>
    </row>
    <row r="1075" spans="8:8" ht="15.75" thickBot="1" x14ac:dyDescent="0.3">
      <c r="H1075" s="128">
        <v>5330</v>
      </c>
    </row>
    <row r="1076" spans="8:8" ht="15.75" thickBot="1" x14ac:dyDescent="0.3">
      <c r="H1076" s="128">
        <v>6309</v>
      </c>
    </row>
    <row r="1077" spans="8:8" ht="15.75" thickBot="1" x14ac:dyDescent="0.3">
      <c r="H1077" s="128">
        <v>1499</v>
      </c>
    </row>
    <row r="1078" spans="8:8" ht="15.75" thickBot="1" x14ac:dyDescent="0.3">
      <c r="H1078" s="128">
        <v>4124</v>
      </c>
    </row>
    <row r="1079" spans="8:8" ht="15.75" thickBot="1" x14ac:dyDescent="0.3">
      <c r="H1079" s="128">
        <v>1577</v>
      </c>
    </row>
    <row r="1080" spans="8:8" ht="15.75" thickBot="1" x14ac:dyDescent="0.3">
      <c r="H1080" s="128">
        <v>1550</v>
      </c>
    </row>
    <row r="1081" spans="8:8" ht="15.75" thickBot="1" x14ac:dyDescent="0.3">
      <c r="H1081" s="128">
        <v>2212</v>
      </c>
    </row>
    <row r="1082" spans="8:8" ht="15.75" thickBot="1" x14ac:dyDescent="0.3">
      <c r="H1082" s="128">
        <v>447</v>
      </c>
    </row>
    <row r="1083" spans="8:8" ht="15.75" thickBot="1" x14ac:dyDescent="0.3">
      <c r="H1083" s="128">
        <v>8426</v>
      </c>
    </row>
    <row r="1084" spans="8:8" ht="15.75" thickBot="1" x14ac:dyDescent="0.3">
      <c r="H1084" s="128">
        <v>5660</v>
      </c>
    </row>
    <row r="1085" spans="8:8" ht="15.75" thickBot="1" x14ac:dyDescent="0.3">
      <c r="H1085" s="128">
        <v>4301</v>
      </c>
    </row>
    <row r="1086" spans="8:8" ht="15.75" thickBot="1" x14ac:dyDescent="0.3">
      <c r="H1086" s="128">
        <v>5966</v>
      </c>
    </row>
    <row r="1087" spans="8:8" ht="15.75" thickBot="1" x14ac:dyDescent="0.3">
      <c r="H1087" s="128">
        <v>1018</v>
      </c>
    </row>
    <row r="1088" spans="8:8" ht="15.75" thickBot="1" x14ac:dyDescent="0.3">
      <c r="H1088" s="128">
        <v>8538</v>
      </c>
    </row>
    <row r="1089" spans="8:8" ht="15.75" thickBot="1" x14ac:dyDescent="0.3">
      <c r="H1089" s="128">
        <v>396</v>
      </c>
    </row>
    <row r="1090" spans="8:8" ht="15.75" thickBot="1" x14ac:dyDescent="0.3">
      <c r="H1090" s="128">
        <v>1573</v>
      </c>
    </row>
    <row r="1091" spans="8:8" ht="15.75" thickBot="1" x14ac:dyDescent="0.3">
      <c r="H1091" s="128">
        <v>6411</v>
      </c>
    </row>
    <row r="1092" spans="8:8" ht="15.75" thickBot="1" x14ac:dyDescent="0.3">
      <c r="H1092" s="128">
        <v>3575</v>
      </c>
    </row>
    <row r="1093" spans="8:8" ht="15.75" thickBot="1" x14ac:dyDescent="0.3">
      <c r="H1093" s="128">
        <v>7620</v>
      </c>
    </row>
    <row r="1094" spans="8:8" ht="15.75" thickBot="1" x14ac:dyDescent="0.3">
      <c r="H1094" s="128">
        <v>6960</v>
      </c>
    </row>
    <row r="1095" spans="8:8" ht="15.75" thickBot="1" x14ac:dyDescent="0.3">
      <c r="H1095" s="128">
        <v>5822</v>
      </c>
    </row>
    <row r="1096" spans="8:8" ht="15.75" thickBot="1" x14ac:dyDescent="0.3">
      <c r="H1096" s="128">
        <v>7585</v>
      </c>
    </row>
    <row r="1097" spans="8:8" ht="15.75" thickBot="1" x14ac:dyDescent="0.3">
      <c r="H1097" s="128">
        <v>669</v>
      </c>
    </row>
    <row r="1098" spans="8:8" ht="15.75" thickBot="1" x14ac:dyDescent="0.3">
      <c r="H1098" s="128">
        <v>751</v>
      </c>
    </row>
    <row r="1099" spans="8:8" ht="15.75" thickBot="1" x14ac:dyDescent="0.3">
      <c r="H1099" s="128">
        <v>5831</v>
      </c>
    </row>
    <row r="1100" spans="8:8" ht="15.75" thickBot="1" x14ac:dyDescent="0.3">
      <c r="H1100" s="128">
        <v>8142</v>
      </c>
    </row>
    <row r="1101" spans="8:8" ht="15.75" thickBot="1" x14ac:dyDescent="0.3">
      <c r="H1101" s="128">
        <v>8658</v>
      </c>
    </row>
    <row r="1102" spans="8:8" ht="15.75" thickBot="1" x14ac:dyDescent="0.3">
      <c r="H1102" s="128">
        <v>8795</v>
      </c>
    </row>
    <row r="1103" spans="8:8" ht="15.75" thickBot="1" x14ac:dyDescent="0.3">
      <c r="H1103" s="128">
        <v>6936</v>
      </c>
    </row>
    <row r="1104" spans="8:8" ht="15.75" thickBot="1" x14ac:dyDescent="0.3">
      <c r="H1104" s="128">
        <v>7505</v>
      </c>
    </row>
    <row r="1105" spans="8:8" ht="15.75" thickBot="1" x14ac:dyDescent="0.3">
      <c r="H1105" s="128">
        <v>2152</v>
      </c>
    </row>
    <row r="1106" spans="8:8" ht="15.75" thickBot="1" x14ac:dyDescent="0.3">
      <c r="H1106" s="128">
        <v>3730</v>
      </c>
    </row>
    <row r="1107" spans="8:8" ht="15.75" thickBot="1" x14ac:dyDescent="0.3">
      <c r="H1107" s="128">
        <v>933</v>
      </c>
    </row>
    <row r="1108" spans="8:8" ht="15.75" thickBot="1" x14ac:dyDescent="0.3">
      <c r="H1108" s="128">
        <v>6780</v>
      </c>
    </row>
    <row r="1109" spans="8:8" ht="15.75" thickBot="1" x14ac:dyDescent="0.3">
      <c r="H1109" s="128">
        <v>3316</v>
      </c>
    </row>
    <row r="1110" spans="8:8" ht="15.75" thickBot="1" x14ac:dyDescent="0.3">
      <c r="H1110" s="128">
        <v>5344</v>
      </c>
    </row>
    <row r="1111" spans="8:8" ht="15.75" thickBot="1" x14ac:dyDescent="0.3">
      <c r="H1111" s="128">
        <v>7417</v>
      </c>
    </row>
    <row r="1112" spans="8:8" ht="15.75" thickBot="1" x14ac:dyDescent="0.3">
      <c r="H1112" s="128">
        <v>1572</v>
      </c>
    </row>
    <row r="1113" spans="8:8" ht="15.75" thickBot="1" x14ac:dyDescent="0.3">
      <c r="H1113" s="128">
        <v>8898</v>
      </c>
    </row>
    <row r="1114" spans="8:8" ht="15.75" thickBot="1" x14ac:dyDescent="0.3">
      <c r="H1114" s="128">
        <v>6403</v>
      </c>
    </row>
    <row r="1115" spans="8:8" ht="15.75" thickBot="1" x14ac:dyDescent="0.3">
      <c r="H1115" s="128">
        <v>7311</v>
      </c>
    </row>
    <row r="1116" spans="8:8" ht="15.75" thickBot="1" x14ac:dyDescent="0.3">
      <c r="H1116" s="128">
        <v>1723</v>
      </c>
    </row>
    <row r="1117" spans="8:8" ht="15.75" thickBot="1" x14ac:dyDescent="0.3">
      <c r="H1117" s="128">
        <v>6953</v>
      </c>
    </row>
    <row r="1118" spans="8:8" ht="15.75" thickBot="1" x14ac:dyDescent="0.3">
      <c r="H1118" s="128">
        <v>8975</v>
      </c>
    </row>
    <row r="1119" spans="8:8" ht="15.75" thickBot="1" x14ac:dyDescent="0.3">
      <c r="H1119" s="128">
        <v>5150</v>
      </c>
    </row>
    <row r="1120" spans="8:8" ht="15.75" thickBot="1" x14ac:dyDescent="0.3">
      <c r="H1120" s="128">
        <v>2842</v>
      </c>
    </row>
    <row r="1121" spans="8:8" ht="15.75" thickBot="1" x14ac:dyDescent="0.3">
      <c r="H1121" s="128">
        <v>2654</v>
      </c>
    </row>
    <row r="1122" spans="8:8" ht="15.75" thickBot="1" x14ac:dyDescent="0.3">
      <c r="H1122" s="128">
        <v>2592</v>
      </c>
    </row>
    <row r="1123" spans="8:8" ht="15.75" thickBot="1" x14ac:dyDescent="0.3">
      <c r="H1123" s="128">
        <v>5463</v>
      </c>
    </row>
    <row r="1124" spans="8:8" ht="15.75" thickBot="1" x14ac:dyDescent="0.3">
      <c r="H1124" s="128">
        <v>6734</v>
      </c>
    </row>
    <row r="1125" spans="8:8" ht="15.75" thickBot="1" x14ac:dyDescent="0.3">
      <c r="H1125" s="128">
        <v>6667</v>
      </c>
    </row>
    <row r="1126" spans="8:8" ht="15.75" thickBot="1" x14ac:dyDescent="0.3">
      <c r="H1126" s="128">
        <v>6922</v>
      </c>
    </row>
    <row r="1127" spans="8:8" ht="15.75" thickBot="1" x14ac:dyDescent="0.3">
      <c r="H1127" s="128">
        <v>5013</v>
      </c>
    </row>
    <row r="1128" spans="8:8" ht="15.75" thickBot="1" x14ac:dyDescent="0.3">
      <c r="H1128" s="128">
        <v>641</v>
      </c>
    </row>
    <row r="1129" spans="8:8" ht="15.75" thickBot="1" x14ac:dyDescent="0.3">
      <c r="H1129" s="128">
        <v>1699</v>
      </c>
    </row>
    <row r="1130" spans="8:8" ht="15.75" thickBot="1" x14ac:dyDescent="0.3">
      <c r="H1130" s="128">
        <v>4137</v>
      </c>
    </row>
    <row r="1131" spans="8:8" ht="15.75" thickBot="1" x14ac:dyDescent="0.3">
      <c r="H1131" s="128">
        <v>677</v>
      </c>
    </row>
    <row r="1132" spans="8:8" ht="15.75" thickBot="1" x14ac:dyDescent="0.3">
      <c r="H1132" s="128">
        <v>3691</v>
      </c>
    </row>
    <row r="1133" spans="8:8" ht="15.75" thickBot="1" x14ac:dyDescent="0.3">
      <c r="H1133" s="128">
        <v>4251</v>
      </c>
    </row>
    <row r="1134" spans="8:8" ht="15.75" thickBot="1" x14ac:dyDescent="0.3">
      <c r="H1134" s="128">
        <v>3280</v>
      </c>
    </row>
    <row r="1135" spans="8:8" ht="15.75" thickBot="1" x14ac:dyDescent="0.3">
      <c r="H1135" s="128">
        <v>7136</v>
      </c>
    </row>
    <row r="1136" spans="8:8" ht="15.75" thickBot="1" x14ac:dyDescent="0.3">
      <c r="H1136" s="128">
        <v>82</v>
      </c>
    </row>
    <row r="1137" spans="8:8" ht="15.75" thickBot="1" x14ac:dyDescent="0.3">
      <c r="H1137" s="128">
        <v>4810</v>
      </c>
    </row>
    <row r="1138" spans="8:8" ht="15.75" thickBot="1" x14ac:dyDescent="0.3">
      <c r="H1138" s="128">
        <v>4040</v>
      </c>
    </row>
    <row r="1139" spans="8:8" ht="15.75" thickBot="1" x14ac:dyDescent="0.3">
      <c r="H1139" s="128">
        <v>2927</v>
      </c>
    </row>
    <row r="1140" spans="8:8" ht="15.75" thickBot="1" x14ac:dyDescent="0.3">
      <c r="H1140" s="128">
        <v>5346</v>
      </c>
    </row>
    <row r="1141" spans="8:8" ht="15.75" thickBot="1" x14ac:dyDescent="0.3">
      <c r="H1141" s="128">
        <v>6024</v>
      </c>
    </row>
    <row r="1142" spans="8:8" ht="15.75" thickBot="1" x14ac:dyDescent="0.3">
      <c r="H1142" s="128">
        <v>6104</v>
      </c>
    </row>
    <row r="1143" spans="8:8" ht="15.75" thickBot="1" x14ac:dyDescent="0.3">
      <c r="H1143" s="128">
        <v>7684</v>
      </c>
    </row>
    <row r="1144" spans="8:8" ht="15.75" thickBot="1" x14ac:dyDescent="0.3">
      <c r="H1144" s="128">
        <v>6498</v>
      </c>
    </row>
    <row r="1145" spans="8:8" ht="15.75" thickBot="1" x14ac:dyDescent="0.3">
      <c r="H1145" s="128">
        <v>3345</v>
      </c>
    </row>
    <row r="1146" spans="8:8" ht="15.75" thickBot="1" x14ac:dyDescent="0.3">
      <c r="H1146" s="128">
        <v>6089</v>
      </c>
    </row>
    <row r="1147" spans="8:8" ht="15.75" thickBot="1" x14ac:dyDescent="0.3">
      <c r="H1147" s="128">
        <v>3816</v>
      </c>
    </row>
    <row r="1148" spans="8:8" ht="15.75" thickBot="1" x14ac:dyDescent="0.3">
      <c r="H1148" s="128">
        <v>7349</v>
      </c>
    </row>
    <row r="1149" spans="8:8" ht="15.75" thickBot="1" x14ac:dyDescent="0.3">
      <c r="H1149" s="128">
        <v>2591</v>
      </c>
    </row>
    <row r="1150" spans="8:8" ht="15.75" thickBot="1" x14ac:dyDescent="0.3">
      <c r="H1150" s="128">
        <v>6885</v>
      </c>
    </row>
    <row r="1151" spans="8:8" ht="15.75" thickBot="1" x14ac:dyDescent="0.3">
      <c r="H1151" s="128">
        <v>1697</v>
      </c>
    </row>
    <row r="1152" spans="8:8" ht="15.75" thickBot="1" x14ac:dyDescent="0.3">
      <c r="H1152" s="128">
        <v>3117</v>
      </c>
    </row>
    <row r="1153" spans="8:8" ht="15.75" thickBot="1" x14ac:dyDescent="0.3">
      <c r="H1153" s="128">
        <v>7775</v>
      </c>
    </row>
    <row r="1154" spans="8:8" ht="15.75" thickBot="1" x14ac:dyDescent="0.3">
      <c r="H1154" s="128">
        <v>3695</v>
      </c>
    </row>
    <row r="1155" spans="8:8" ht="15.75" thickBot="1" x14ac:dyDescent="0.3">
      <c r="H1155" s="128">
        <v>2797</v>
      </c>
    </row>
    <row r="1156" spans="8:8" ht="15.75" thickBot="1" x14ac:dyDescent="0.3">
      <c r="H1156" s="128">
        <v>2041</v>
      </c>
    </row>
    <row r="1157" spans="8:8" ht="15.75" thickBot="1" x14ac:dyDescent="0.3">
      <c r="H1157" s="128">
        <v>1801</v>
      </c>
    </row>
    <row r="1158" spans="8:8" ht="15.75" thickBot="1" x14ac:dyDescent="0.3">
      <c r="H1158" s="128">
        <v>4482</v>
      </c>
    </row>
    <row r="1159" spans="8:8" ht="15.75" thickBot="1" x14ac:dyDescent="0.3">
      <c r="H1159" s="128">
        <v>7501</v>
      </c>
    </row>
    <row r="1160" spans="8:8" ht="15.75" thickBot="1" x14ac:dyDescent="0.3">
      <c r="H1160" s="128">
        <v>7192</v>
      </c>
    </row>
    <row r="1161" spans="8:8" ht="15.75" thickBot="1" x14ac:dyDescent="0.3">
      <c r="H1161" s="128">
        <v>3190</v>
      </c>
    </row>
    <row r="1162" spans="8:8" ht="15.75" thickBot="1" x14ac:dyDescent="0.3">
      <c r="H1162" s="128">
        <v>5120</v>
      </c>
    </row>
    <row r="1163" spans="8:8" ht="15.75" thickBot="1" x14ac:dyDescent="0.3">
      <c r="H1163" s="128">
        <v>1083</v>
      </c>
    </row>
    <row r="1164" spans="8:8" ht="15.75" thickBot="1" x14ac:dyDescent="0.3">
      <c r="H1164" s="128">
        <v>7546</v>
      </c>
    </row>
    <row r="1165" spans="8:8" ht="15.75" thickBot="1" x14ac:dyDescent="0.3">
      <c r="H1165" s="128">
        <v>6950</v>
      </c>
    </row>
    <row r="1166" spans="8:8" ht="15.75" thickBot="1" x14ac:dyDescent="0.3">
      <c r="H1166" s="128">
        <v>684</v>
      </c>
    </row>
    <row r="1167" spans="8:8" ht="15.75" thickBot="1" x14ac:dyDescent="0.3">
      <c r="H1167" s="128">
        <v>8103</v>
      </c>
    </row>
    <row r="1168" spans="8:8" ht="15.75" thickBot="1" x14ac:dyDescent="0.3">
      <c r="H1168" s="128">
        <v>3959</v>
      </c>
    </row>
    <row r="1169" spans="8:8" ht="15.75" thickBot="1" x14ac:dyDescent="0.3">
      <c r="H1169" s="128">
        <v>2322</v>
      </c>
    </row>
    <row r="1170" spans="8:8" ht="15.75" thickBot="1" x14ac:dyDescent="0.3">
      <c r="H1170" s="128">
        <v>5776</v>
      </c>
    </row>
    <row r="1171" spans="8:8" ht="15.75" thickBot="1" x14ac:dyDescent="0.3">
      <c r="H1171" s="128">
        <v>5626</v>
      </c>
    </row>
    <row r="1172" spans="8:8" ht="15.75" thickBot="1" x14ac:dyDescent="0.3">
      <c r="H1172" s="128">
        <v>3344</v>
      </c>
    </row>
    <row r="1173" spans="8:8" ht="15.75" thickBot="1" x14ac:dyDescent="0.3">
      <c r="H1173" s="128">
        <v>6870</v>
      </c>
    </row>
    <row r="1174" spans="8:8" ht="15.75" thickBot="1" x14ac:dyDescent="0.3">
      <c r="H1174" s="128">
        <v>638</v>
      </c>
    </row>
    <row r="1175" spans="8:8" ht="15.75" thickBot="1" x14ac:dyDescent="0.3">
      <c r="H1175" s="128">
        <v>5341</v>
      </c>
    </row>
    <row r="1176" spans="8:8" ht="15.75" thickBot="1" x14ac:dyDescent="0.3">
      <c r="H1176" s="128">
        <v>3066</v>
      </c>
    </row>
    <row r="1177" spans="8:8" ht="15.75" thickBot="1" x14ac:dyDescent="0.3">
      <c r="H1177" s="128">
        <v>4643</v>
      </c>
    </row>
    <row r="1178" spans="8:8" ht="15.75" thickBot="1" x14ac:dyDescent="0.3">
      <c r="H1178" s="128">
        <v>941</v>
      </c>
    </row>
    <row r="1179" spans="8:8" ht="15.75" thickBot="1" x14ac:dyDescent="0.3">
      <c r="H1179" s="128">
        <v>7357</v>
      </c>
    </row>
    <row r="1180" spans="8:8" ht="15.75" thickBot="1" x14ac:dyDescent="0.3">
      <c r="H1180" s="128">
        <v>4445</v>
      </c>
    </row>
    <row r="1181" spans="8:8" ht="15.75" thickBot="1" x14ac:dyDescent="0.3">
      <c r="H1181" s="128">
        <v>477</v>
      </c>
    </row>
    <row r="1182" spans="8:8" ht="15.75" thickBot="1" x14ac:dyDescent="0.3">
      <c r="H1182" s="128">
        <v>8781</v>
      </c>
    </row>
    <row r="1183" spans="8:8" ht="15.75" thickBot="1" x14ac:dyDescent="0.3">
      <c r="H1183" s="128">
        <v>5477</v>
      </c>
    </row>
    <row r="1184" spans="8:8" ht="15.75" thickBot="1" x14ac:dyDescent="0.3">
      <c r="H1184" s="128">
        <v>27</v>
      </c>
    </row>
    <row r="1185" spans="8:8" ht="15.75" thickBot="1" x14ac:dyDescent="0.3">
      <c r="H1185" s="128">
        <v>2933</v>
      </c>
    </row>
    <row r="1186" spans="8:8" ht="15.75" thickBot="1" x14ac:dyDescent="0.3">
      <c r="H1186" s="128">
        <v>8899</v>
      </c>
    </row>
    <row r="1187" spans="8:8" ht="15.75" thickBot="1" x14ac:dyDescent="0.3">
      <c r="H1187" s="128">
        <v>6851</v>
      </c>
    </row>
    <row r="1188" spans="8:8" ht="15.75" thickBot="1" x14ac:dyDescent="0.3">
      <c r="H1188" s="128">
        <v>3988</v>
      </c>
    </row>
    <row r="1189" spans="8:8" ht="15.75" thickBot="1" x14ac:dyDescent="0.3">
      <c r="H1189" s="128">
        <v>4896</v>
      </c>
    </row>
    <row r="1190" spans="8:8" ht="15.75" thickBot="1" x14ac:dyDescent="0.3">
      <c r="H1190" s="128">
        <v>4735</v>
      </c>
    </row>
    <row r="1191" spans="8:8" ht="15.75" thickBot="1" x14ac:dyDescent="0.3">
      <c r="H1191" s="128">
        <v>8417</v>
      </c>
    </row>
    <row r="1192" spans="8:8" ht="15.75" thickBot="1" x14ac:dyDescent="0.3">
      <c r="H1192" s="128">
        <v>8745</v>
      </c>
    </row>
    <row r="1193" spans="8:8" ht="15.75" thickBot="1" x14ac:dyDescent="0.3">
      <c r="H1193" s="128">
        <v>2082</v>
      </c>
    </row>
    <row r="1194" spans="8:8" ht="15.75" thickBot="1" x14ac:dyDescent="0.3">
      <c r="H1194" s="128">
        <v>2852</v>
      </c>
    </row>
    <row r="1195" spans="8:8" ht="15.75" thickBot="1" x14ac:dyDescent="0.3">
      <c r="H1195" s="128">
        <v>818</v>
      </c>
    </row>
    <row r="1196" spans="8:8" ht="15.75" thickBot="1" x14ac:dyDescent="0.3">
      <c r="H1196" s="128">
        <v>2070</v>
      </c>
    </row>
    <row r="1197" spans="8:8" ht="15.75" thickBot="1" x14ac:dyDescent="0.3">
      <c r="H1197" s="128">
        <v>4350</v>
      </c>
    </row>
    <row r="1198" spans="8:8" ht="15.75" thickBot="1" x14ac:dyDescent="0.3">
      <c r="H1198" s="128">
        <v>6866</v>
      </c>
    </row>
    <row r="1199" spans="8:8" ht="15.75" thickBot="1" x14ac:dyDescent="0.3">
      <c r="H1199" s="128">
        <v>2761</v>
      </c>
    </row>
    <row r="1200" spans="8:8" ht="15.75" thickBot="1" x14ac:dyDescent="0.3">
      <c r="H1200" s="128">
        <v>825</v>
      </c>
    </row>
    <row r="1201" spans="8:8" ht="15.75" thickBot="1" x14ac:dyDescent="0.3">
      <c r="H1201" s="128">
        <v>8731</v>
      </c>
    </row>
    <row r="1202" spans="8:8" ht="15.75" thickBot="1" x14ac:dyDescent="0.3">
      <c r="H1202" s="128">
        <v>6624</v>
      </c>
    </row>
    <row r="1203" spans="8:8" ht="15.75" thickBot="1" x14ac:dyDescent="0.3">
      <c r="H1203" s="128">
        <v>5783</v>
      </c>
    </row>
    <row r="1204" spans="8:8" ht="15.75" thickBot="1" x14ac:dyDescent="0.3">
      <c r="H1204" s="128">
        <v>6021</v>
      </c>
    </row>
    <row r="1205" spans="8:8" ht="15.75" thickBot="1" x14ac:dyDescent="0.3">
      <c r="H1205" s="128">
        <v>6182</v>
      </c>
    </row>
    <row r="1206" spans="8:8" ht="15.75" thickBot="1" x14ac:dyDescent="0.3">
      <c r="H1206" s="128">
        <v>639</v>
      </c>
    </row>
    <row r="1207" spans="8:8" ht="15.75" thickBot="1" x14ac:dyDescent="0.3">
      <c r="H1207" s="128">
        <v>2818</v>
      </c>
    </row>
    <row r="1208" spans="8:8" ht="15.75" thickBot="1" x14ac:dyDescent="0.3">
      <c r="H1208" s="128">
        <v>8834</v>
      </c>
    </row>
    <row r="1209" spans="8:8" ht="15.75" thickBot="1" x14ac:dyDescent="0.3">
      <c r="H1209" s="128">
        <v>4784</v>
      </c>
    </row>
    <row r="1210" spans="8:8" ht="15.75" thickBot="1" x14ac:dyDescent="0.3">
      <c r="H1210" s="128">
        <v>1198</v>
      </c>
    </row>
    <row r="1211" spans="8:8" ht="15.75" thickBot="1" x14ac:dyDescent="0.3">
      <c r="H1211" s="128">
        <v>1322</v>
      </c>
    </row>
    <row r="1212" spans="8:8" ht="15.75" thickBot="1" x14ac:dyDescent="0.3">
      <c r="H1212" s="128">
        <v>7995</v>
      </c>
    </row>
    <row r="1213" spans="8:8" ht="15.75" thickBot="1" x14ac:dyDescent="0.3">
      <c r="H1213" s="128">
        <v>1023</v>
      </c>
    </row>
    <row r="1214" spans="8:8" ht="15.75" thickBot="1" x14ac:dyDescent="0.3">
      <c r="H1214" s="128">
        <v>1947</v>
      </c>
    </row>
    <row r="1215" spans="8:8" ht="15.75" thickBot="1" x14ac:dyDescent="0.3">
      <c r="H1215" s="128">
        <v>3324</v>
      </c>
    </row>
    <row r="1216" spans="8:8" ht="15.75" thickBot="1" x14ac:dyDescent="0.3">
      <c r="H1216" s="128">
        <v>1421</v>
      </c>
    </row>
    <row r="1217" spans="8:8" ht="15.75" thickBot="1" x14ac:dyDescent="0.3">
      <c r="H1217" s="128">
        <v>6075</v>
      </c>
    </row>
    <row r="1218" spans="8:8" ht="15.75" thickBot="1" x14ac:dyDescent="0.3">
      <c r="H1218" s="128">
        <v>578</v>
      </c>
    </row>
    <row r="1219" spans="8:8" ht="15.75" thickBot="1" x14ac:dyDescent="0.3">
      <c r="H1219" s="128">
        <v>3741</v>
      </c>
    </row>
    <row r="1220" spans="8:8" ht="15.75" thickBot="1" x14ac:dyDescent="0.3">
      <c r="H1220" s="128">
        <v>8709</v>
      </c>
    </row>
    <row r="1221" spans="8:8" ht="15.75" thickBot="1" x14ac:dyDescent="0.3">
      <c r="H1221" s="128">
        <v>3586</v>
      </c>
    </row>
    <row r="1222" spans="8:8" ht="15.75" thickBot="1" x14ac:dyDescent="0.3">
      <c r="H1222" s="128">
        <v>7424</v>
      </c>
    </row>
    <row r="1223" spans="8:8" ht="15.75" thickBot="1" x14ac:dyDescent="0.3">
      <c r="H1223" s="128">
        <v>3859</v>
      </c>
    </row>
    <row r="1224" spans="8:8" ht="15.75" thickBot="1" x14ac:dyDescent="0.3">
      <c r="H1224" s="128">
        <v>7255</v>
      </c>
    </row>
    <row r="1225" spans="8:8" ht="15.75" thickBot="1" x14ac:dyDescent="0.3">
      <c r="H1225" s="128">
        <v>4291</v>
      </c>
    </row>
    <row r="1226" spans="8:8" ht="15.75" thickBot="1" x14ac:dyDescent="0.3">
      <c r="H1226" s="128">
        <v>8346</v>
      </c>
    </row>
    <row r="1227" spans="8:8" ht="15.75" thickBot="1" x14ac:dyDescent="0.3">
      <c r="H1227" s="128">
        <v>5246</v>
      </c>
    </row>
    <row r="1228" spans="8:8" ht="15.75" thickBot="1" x14ac:dyDescent="0.3">
      <c r="H1228" s="128">
        <v>6661</v>
      </c>
    </row>
    <row r="1229" spans="8:8" ht="15.75" thickBot="1" x14ac:dyDescent="0.3">
      <c r="H1229" s="128">
        <v>1111</v>
      </c>
    </row>
    <row r="1230" spans="8:8" ht="15.75" thickBot="1" x14ac:dyDescent="0.3">
      <c r="H1230" s="128">
        <v>3672</v>
      </c>
    </row>
    <row r="1231" spans="8:8" ht="15.75" thickBot="1" x14ac:dyDescent="0.3">
      <c r="H1231" s="128">
        <v>8274</v>
      </c>
    </row>
    <row r="1232" spans="8:8" ht="15.75" thickBot="1" x14ac:dyDescent="0.3">
      <c r="H1232" s="128">
        <v>3459</v>
      </c>
    </row>
    <row r="1233" spans="8:8" ht="15.75" thickBot="1" x14ac:dyDescent="0.3">
      <c r="H1233" s="128">
        <v>7480</v>
      </c>
    </row>
    <row r="1234" spans="8:8" ht="15.75" thickBot="1" x14ac:dyDescent="0.3">
      <c r="H1234" s="128">
        <v>8713</v>
      </c>
    </row>
    <row r="1235" spans="8:8" ht="15.75" thickBot="1" x14ac:dyDescent="0.3">
      <c r="H1235" s="128">
        <v>4207</v>
      </c>
    </row>
    <row r="1236" spans="8:8" ht="15.75" thickBot="1" x14ac:dyDescent="0.3">
      <c r="H1236" s="128">
        <v>1586</v>
      </c>
    </row>
    <row r="1237" spans="8:8" ht="15.75" thickBot="1" x14ac:dyDescent="0.3">
      <c r="H1237" s="128">
        <v>6203</v>
      </c>
    </row>
    <row r="1238" spans="8:8" ht="15.75" thickBot="1" x14ac:dyDescent="0.3">
      <c r="H1238" s="128">
        <v>2528</v>
      </c>
    </row>
    <row r="1239" spans="8:8" ht="15.75" thickBot="1" x14ac:dyDescent="0.3">
      <c r="H1239" s="128">
        <v>7182</v>
      </c>
    </row>
    <row r="1240" spans="8:8" ht="15.75" thickBot="1" x14ac:dyDescent="0.3">
      <c r="H1240" s="128">
        <v>8330</v>
      </c>
    </row>
    <row r="1241" spans="8:8" ht="15.75" thickBot="1" x14ac:dyDescent="0.3">
      <c r="H1241" s="128">
        <v>4002</v>
      </c>
    </row>
    <row r="1242" spans="8:8" ht="15.75" thickBot="1" x14ac:dyDescent="0.3">
      <c r="H1242" s="128">
        <v>7761</v>
      </c>
    </row>
    <row r="1243" spans="8:8" ht="15.75" thickBot="1" x14ac:dyDescent="0.3">
      <c r="H1243" s="128">
        <v>6721</v>
      </c>
    </row>
    <row r="1244" spans="8:8" ht="15.75" thickBot="1" x14ac:dyDescent="0.3">
      <c r="H1244" s="128">
        <v>8682</v>
      </c>
    </row>
    <row r="1245" spans="8:8" ht="15.75" thickBot="1" x14ac:dyDescent="0.3">
      <c r="H1245" s="128">
        <v>4692</v>
      </c>
    </row>
    <row r="1246" spans="8:8" ht="15.75" thickBot="1" x14ac:dyDescent="0.3">
      <c r="H1246" s="128">
        <v>4788</v>
      </c>
    </row>
    <row r="1247" spans="8:8" ht="15.75" thickBot="1" x14ac:dyDescent="0.3">
      <c r="H1247" s="128">
        <v>748</v>
      </c>
    </row>
    <row r="1248" spans="8:8" ht="15.75" thickBot="1" x14ac:dyDescent="0.3">
      <c r="H1248" s="128">
        <v>2751</v>
      </c>
    </row>
    <row r="1249" spans="8:8" ht="15.75" thickBot="1" x14ac:dyDescent="0.3">
      <c r="H1249" s="128">
        <v>5380</v>
      </c>
    </row>
    <row r="1250" spans="8:8" ht="15.75" thickBot="1" x14ac:dyDescent="0.3">
      <c r="H1250" s="128">
        <v>8413</v>
      </c>
    </row>
    <row r="1251" spans="8:8" ht="15.75" thickBot="1" x14ac:dyDescent="0.3">
      <c r="H1251" s="128">
        <v>3765</v>
      </c>
    </row>
    <row r="1252" spans="8:8" ht="15.75" thickBot="1" x14ac:dyDescent="0.3">
      <c r="H1252" s="128">
        <v>3791</v>
      </c>
    </row>
    <row r="1253" spans="8:8" ht="15.75" thickBot="1" x14ac:dyDescent="0.3">
      <c r="H1253" s="128">
        <v>3699</v>
      </c>
    </row>
    <row r="1254" spans="8:8" ht="15.75" thickBot="1" x14ac:dyDescent="0.3">
      <c r="H1254" s="128">
        <v>578</v>
      </c>
    </row>
    <row r="1255" spans="8:8" ht="15.75" thickBot="1" x14ac:dyDescent="0.3">
      <c r="H1255" s="128">
        <v>2449</v>
      </c>
    </row>
    <row r="1256" spans="8:8" ht="15.75" thickBot="1" x14ac:dyDescent="0.3">
      <c r="H1256" s="128">
        <v>8431</v>
      </c>
    </row>
    <row r="1257" spans="8:8" ht="15.75" thickBot="1" x14ac:dyDescent="0.3">
      <c r="H1257" s="128">
        <v>6149</v>
      </c>
    </row>
    <row r="1258" spans="8:8" ht="15.75" thickBot="1" x14ac:dyDescent="0.3">
      <c r="H1258" s="128">
        <v>216</v>
      </c>
    </row>
    <row r="1259" spans="8:8" ht="15.75" thickBot="1" x14ac:dyDescent="0.3">
      <c r="H1259" s="128">
        <v>216</v>
      </c>
    </row>
    <row r="1260" spans="8:8" ht="15.75" thickBot="1" x14ac:dyDescent="0.3">
      <c r="H1260" s="128">
        <v>8320</v>
      </c>
    </row>
    <row r="1261" spans="8:8" ht="15.75" thickBot="1" x14ac:dyDescent="0.3">
      <c r="H1261" s="128">
        <v>7882</v>
      </c>
    </row>
    <row r="1262" spans="8:8" ht="15.75" thickBot="1" x14ac:dyDescent="0.3">
      <c r="H1262" s="128">
        <v>6493</v>
      </c>
    </row>
    <row r="1263" spans="8:8" ht="15.75" thickBot="1" x14ac:dyDescent="0.3">
      <c r="H1263" s="128">
        <v>8936</v>
      </c>
    </row>
    <row r="1264" spans="8:8" ht="15.75" thickBot="1" x14ac:dyDescent="0.3">
      <c r="H1264" s="128">
        <v>1982</v>
      </c>
    </row>
    <row r="1265" spans="8:8" ht="15.75" thickBot="1" x14ac:dyDescent="0.3">
      <c r="H1265" s="128">
        <v>6498</v>
      </c>
    </row>
    <row r="1266" spans="8:8" ht="15.75" thickBot="1" x14ac:dyDescent="0.3">
      <c r="H1266" s="128">
        <v>4186</v>
      </c>
    </row>
    <row r="1267" spans="8:8" ht="15.75" thickBot="1" x14ac:dyDescent="0.3">
      <c r="H1267" s="128">
        <v>2632</v>
      </c>
    </row>
    <row r="1268" spans="8:8" ht="15.75" thickBot="1" x14ac:dyDescent="0.3">
      <c r="H1268" s="128">
        <v>3237</v>
      </c>
    </row>
    <row r="1269" spans="8:8" ht="15.75" thickBot="1" x14ac:dyDescent="0.3">
      <c r="H1269" s="128">
        <v>3117</v>
      </c>
    </row>
    <row r="1270" spans="8:8" ht="15.75" thickBot="1" x14ac:dyDescent="0.3">
      <c r="H1270" s="128">
        <v>3634</v>
      </c>
    </row>
    <row r="1271" spans="8:8" ht="15.75" thickBot="1" x14ac:dyDescent="0.3">
      <c r="H1271" s="128">
        <v>907</v>
      </c>
    </row>
    <row r="1272" spans="8:8" ht="15.75" thickBot="1" x14ac:dyDescent="0.3">
      <c r="H1272" s="128">
        <v>3767</v>
      </c>
    </row>
    <row r="1273" spans="8:8" ht="15.75" thickBot="1" x14ac:dyDescent="0.3">
      <c r="H1273" s="128">
        <v>4565</v>
      </c>
    </row>
    <row r="1274" spans="8:8" ht="15.75" thickBot="1" x14ac:dyDescent="0.3">
      <c r="H1274" s="128">
        <v>8841</v>
      </c>
    </row>
    <row r="1275" spans="8:8" ht="15.75" thickBot="1" x14ac:dyDescent="0.3">
      <c r="H1275" s="128">
        <v>2389</v>
      </c>
    </row>
    <row r="1276" spans="8:8" ht="15.75" thickBot="1" x14ac:dyDescent="0.3">
      <c r="H1276" s="128">
        <v>8018</v>
      </c>
    </row>
    <row r="1277" spans="8:8" ht="15.75" thickBot="1" x14ac:dyDescent="0.3">
      <c r="H1277" s="128">
        <v>2632</v>
      </c>
    </row>
    <row r="1278" spans="8:8" ht="15.75" thickBot="1" x14ac:dyDescent="0.3">
      <c r="H1278" s="128">
        <v>8842</v>
      </c>
    </row>
    <row r="1279" spans="8:8" ht="15.75" thickBot="1" x14ac:dyDescent="0.3">
      <c r="H1279" s="128">
        <v>1453</v>
      </c>
    </row>
    <row r="1280" spans="8:8" ht="15.75" thickBot="1" x14ac:dyDescent="0.3">
      <c r="H1280" s="128">
        <v>8520</v>
      </c>
    </row>
    <row r="1281" spans="8:8" ht="15.75" thickBot="1" x14ac:dyDescent="0.3">
      <c r="H1281" s="128">
        <v>8769</v>
      </c>
    </row>
    <row r="1282" spans="8:8" ht="15.75" thickBot="1" x14ac:dyDescent="0.3">
      <c r="H1282" s="128">
        <v>1325</v>
      </c>
    </row>
    <row r="1283" spans="8:8" ht="15.75" thickBot="1" x14ac:dyDescent="0.3">
      <c r="H1283" s="128">
        <v>287</v>
      </c>
    </row>
    <row r="1284" spans="8:8" ht="15.75" thickBot="1" x14ac:dyDescent="0.3">
      <c r="H1284" s="128">
        <v>5479</v>
      </c>
    </row>
    <row r="1285" spans="8:8" ht="15.75" thickBot="1" x14ac:dyDescent="0.3">
      <c r="H1285" s="128">
        <v>1021</v>
      </c>
    </row>
    <row r="1286" spans="8:8" ht="15.75" thickBot="1" x14ac:dyDescent="0.3">
      <c r="H1286" s="128">
        <v>1575</v>
      </c>
    </row>
    <row r="1287" spans="8:8" ht="15.75" thickBot="1" x14ac:dyDescent="0.3">
      <c r="H1287" s="128">
        <v>620</v>
      </c>
    </row>
    <row r="1288" spans="8:8" ht="15.75" thickBot="1" x14ac:dyDescent="0.3">
      <c r="H1288" s="128">
        <v>3847</v>
      </c>
    </row>
    <row r="1289" spans="8:8" ht="15.75" thickBot="1" x14ac:dyDescent="0.3">
      <c r="H1289" s="128">
        <v>6333</v>
      </c>
    </row>
    <row r="1290" spans="8:8" ht="15.75" thickBot="1" x14ac:dyDescent="0.3">
      <c r="H1290" s="128">
        <v>3871</v>
      </c>
    </row>
    <row r="1291" spans="8:8" ht="15.75" thickBot="1" x14ac:dyDescent="0.3">
      <c r="H1291" s="128">
        <v>815</v>
      </c>
    </row>
    <row r="1292" spans="8:8" ht="15.75" thickBot="1" x14ac:dyDescent="0.3">
      <c r="H1292" s="128">
        <v>1894</v>
      </c>
    </row>
    <row r="1293" spans="8:8" ht="15.75" thickBot="1" x14ac:dyDescent="0.3">
      <c r="H1293" s="128">
        <v>1500</v>
      </c>
    </row>
    <row r="1294" spans="8:8" ht="15.75" thickBot="1" x14ac:dyDescent="0.3">
      <c r="H1294" s="128">
        <v>786</v>
      </c>
    </row>
    <row r="1295" spans="8:8" ht="15.75" thickBot="1" x14ac:dyDescent="0.3">
      <c r="H1295" s="128">
        <v>4295</v>
      </c>
    </row>
    <row r="1296" spans="8:8" ht="15.75" thickBot="1" x14ac:dyDescent="0.3">
      <c r="H1296" s="128">
        <v>4733</v>
      </c>
    </row>
    <row r="1297" spans="8:8" ht="15.75" thickBot="1" x14ac:dyDescent="0.3">
      <c r="H1297" s="128">
        <v>7056</v>
      </c>
    </row>
    <row r="1298" spans="8:8" ht="15.75" thickBot="1" x14ac:dyDescent="0.3">
      <c r="H1298" s="128">
        <v>811</v>
      </c>
    </row>
    <row r="1299" spans="8:8" ht="15.75" thickBot="1" x14ac:dyDescent="0.3">
      <c r="H1299" s="128">
        <v>7046</v>
      </c>
    </row>
    <row r="1300" spans="8:8" ht="15.75" thickBot="1" x14ac:dyDescent="0.3">
      <c r="H1300" s="128">
        <v>2340</v>
      </c>
    </row>
    <row r="1301" spans="8:8" ht="15.75" thickBot="1" x14ac:dyDescent="0.3">
      <c r="H1301" s="128">
        <v>321</v>
      </c>
    </row>
    <row r="1302" spans="8:8" ht="15.75" thickBot="1" x14ac:dyDescent="0.3">
      <c r="H1302" s="128">
        <v>7629</v>
      </c>
    </row>
    <row r="1303" spans="8:8" ht="15.75" thickBot="1" x14ac:dyDescent="0.3">
      <c r="H1303" s="128">
        <v>5761</v>
      </c>
    </row>
    <row r="1304" spans="8:8" ht="15.75" thickBot="1" x14ac:dyDescent="0.3">
      <c r="H1304" s="128">
        <v>5275</v>
      </c>
    </row>
    <row r="1305" spans="8:8" ht="15.75" thickBot="1" x14ac:dyDescent="0.3">
      <c r="H1305" s="128">
        <v>6527</v>
      </c>
    </row>
    <row r="1306" spans="8:8" ht="15.75" thickBot="1" x14ac:dyDescent="0.3">
      <c r="H1306" s="128">
        <v>4065</v>
      </c>
    </row>
    <row r="1307" spans="8:8" ht="15.75" thickBot="1" x14ac:dyDescent="0.3">
      <c r="H1307" s="128">
        <v>4992</v>
      </c>
    </row>
    <row r="1308" spans="8:8" ht="15.75" thickBot="1" x14ac:dyDescent="0.3">
      <c r="H1308" s="128">
        <v>8441</v>
      </c>
    </row>
    <row r="1309" spans="8:8" ht="15.75" thickBot="1" x14ac:dyDescent="0.3">
      <c r="H1309" s="128">
        <v>7423</v>
      </c>
    </row>
    <row r="1310" spans="8:8" ht="15.75" thickBot="1" x14ac:dyDescent="0.3">
      <c r="H1310" s="128">
        <v>5999</v>
      </c>
    </row>
    <row r="1311" spans="8:8" ht="15.75" thickBot="1" x14ac:dyDescent="0.3">
      <c r="H1311" s="128">
        <v>8357</v>
      </c>
    </row>
    <row r="1312" spans="8:8" ht="15.75" thickBot="1" x14ac:dyDescent="0.3">
      <c r="H1312" s="128">
        <v>1924</v>
      </c>
    </row>
    <row r="1313" spans="8:8" ht="15.75" thickBot="1" x14ac:dyDescent="0.3">
      <c r="H1313" s="128">
        <v>8757</v>
      </c>
    </row>
    <row r="1314" spans="8:8" ht="15.75" thickBot="1" x14ac:dyDescent="0.3">
      <c r="H1314" s="128">
        <v>2430</v>
      </c>
    </row>
    <row r="1315" spans="8:8" ht="15.75" thickBot="1" x14ac:dyDescent="0.3">
      <c r="H1315" s="128">
        <v>7168</v>
      </c>
    </row>
    <row r="1316" spans="8:8" ht="15.75" thickBot="1" x14ac:dyDescent="0.3">
      <c r="H1316" s="128">
        <v>6479</v>
      </c>
    </row>
    <row r="1317" spans="8:8" ht="15.75" thickBot="1" x14ac:dyDescent="0.3">
      <c r="H1317" s="128">
        <v>1339</v>
      </c>
    </row>
    <row r="1318" spans="8:8" ht="15.75" thickBot="1" x14ac:dyDescent="0.3">
      <c r="H1318" s="128">
        <v>5448</v>
      </c>
    </row>
    <row r="1319" spans="8:8" ht="15.75" thickBot="1" x14ac:dyDescent="0.3">
      <c r="H1319" s="128">
        <v>6195</v>
      </c>
    </row>
    <row r="1320" spans="8:8" ht="15.75" thickBot="1" x14ac:dyDescent="0.3">
      <c r="H1320" s="128">
        <v>6932</v>
      </c>
    </row>
    <row r="1321" spans="8:8" ht="15.75" thickBot="1" x14ac:dyDescent="0.3">
      <c r="H1321" s="128">
        <v>4446</v>
      </c>
    </row>
    <row r="1322" spans="8:8" ht="15.75" thickBot="1" x14ac:dyDescent="0.3">
      <c r="H1322" s="128">
        <v>2513</v>
      </c>
    </row>
    <row r="1323" spans="8:8" ht="15.75" thickBot="1" x14ac:dyDescent="0.3">
      <c r="H1323" s="128">
        <v>8319</v>
      </c>
    </row>
    <row r="1324" spans="8:8" ht="15.75" thickBot="1" x14ac:dyDescent="0.3">
      <c r="H1324" s="128">
        <v>8732</v>
      </c>
    </row>
    <row r="1325" spans="8:8" ht="15.75" thickBot="1" x14ac:dyDescent="0.3">
      <c r="H1325" s="128">
        <v>519</v>
      </c>
    </row>
    <row r="1326" spans="8:8" ht="15.75" thickBot="1" x14ac:dyDescent="0.3">
      <c r="H1326" s="128">
        <v>7791</v>
      </c>
    </row>
    <row r="1327" spans="8:8" ht="15.75" thickBot="1" x14ac:dyDescent="0.3">
      <c r="H1327" s="128">
        <v>5525</v>
      </c>
    </row>
    <row r="1328" spans="8:8" ht="15.75" thickBot="1" x14ac:dyDescent="0.3">
      <c r="H1328" s="128">
        <v>642</v>
      </c>
    </row>
    <row r="1329" spans="8:8" ht="15.75" thickBot="1" x14ac:dyDescent="0.3">
      <c r="H1329" s="128">
        <v>8991</v>
      </c>
    </row>
    <row r="1330" spans="8:8" ht="15.75" thickBot="1" x14ac:dyDescent="0.3">
      <c r="H1330" s="128">
        <v>6830</v>
      </c>
    </row>
    <row r="1331" spans="8:8" ht="15.75" thickBot="1" x14ac:dyDescent="0.3">
      <c r="H1331" s="128">
        <v>6542</v>
      </c>
    </row>
    <row r="1332" spans="8:8" ht="15.75" thickBot="1" x14ac:dyDescent="0.3">
      <c r="H1332" s="128">
        <v>8172</v>
      </c>
    </row>
    <row r="1333" spans="8:8" ht="15.75" thickBot="1" x14ac:dyDescent="0.3">
      <c r="H1333" s="128">
        <v>2902</v>
      </c>
    </row>
    <row r="1334" spans="8:8" ht="15.75" thickBot="1" x14ac:dyDescent="0.3">
      <c r="H1334" s="128">
        <v>8425</v>
      </c>
    </row>
    <row r="1335" spans="8:8" ht="15.75" thickBot="1" x14ac:dyDescent="0.3">
      <c r="H1335" s="128">
        <v>4050</v>
      </c>
    </row>
    <row r="1336" spans="8:8" ht="15.75" thickBot="1" x14ac:dyDescent="0.3">
      <c r="H1336" s="128">
        <v>7925</v>
      </c>
    </row>
    <row r="1337" spans="8:8" ht="15.75" thickBot="1" x14ac:dyDescent="0.3">
      <c r="H1337" s="128">
        <v>8286</v>
      </c>
    </row>
    <row r="1338" spans="8:8" ht="15.75" thickBot="1" x14ac:dyDescent="0.3">
      <c r="H1338" s="128">
        <v>4811</v>
      </c>
    </row>
    <row r="1339" spans="8:8" ht="15.75" thickBot="1" x14ac:dyDescent="0.3">
      <c r="H1339" s="128">
        <v>6886</v>
      </c>
    </row>
    <row r="1340" spans="8:8" ht="15.75" thickBot="1" x14ac:dyDescent="0.3">
      <c r="H1340" s="128">
        <v>1381</v>
      </c>
    </row>
    <row r="1341" spans="8:8" ht="15.75" thickBot="1" x14ac:dyDescent="0.3">
      <c r="H1341" s="128">
        <v>6372</v>
      </c>
    </row>
    <row r="1342" spans="8:8" ht="15.75" thickBot="1" x14ac:dyDescent="0.3">
      <c r="H1342" s="128">
        <v>393</v>
      </c>
    </row>
    <row r="1343" spans="8:8" ht="15.75" thickBot="1" x14ac:dyDescent="0.3">
      <c r="H1343" s="128">
        <v>8210</v>
      </c>
    </row>
    <row r="1344" spans="8:8" ht="15.75" thickBot="1" x14ac:dyDescent="0.3">
      <c r="H1344" s="128">
        <v>3608</v>
      </c>
    </row>
    <row r="1345" spans="8:8" ht="15.75" thickBot="1" x14ac:dyDescent="0.3">
      <c r="H1345" s="128">
        <v>43</v>
      </c>
    </row>
    <row r="1346" spans="8:8" ht="15.75" thickBot="1" x14ac:dyDescent="0.3">
      <c r="H1346" s="128">
        <v>1774</v>
      </c>
    </row>
    <row r="1347" spans="8:8" ht="15.75" thickBot="1" x14ac:dyDescent="0.3">
      <c r="H1347" s="128">
        <v>5623</v>
      </c>
    </row>
    <row r="1348" spans="8:8" ht="15.75" thickBot="1" x14ac:dyDescent="0.3">
      <c r="H1348" s="128">
        <v>2747</v>
      </c>
    </row>
    <row r="1349" spans="8:8" ht="15.75" thickBot="1" x14ac:dyDescent="0.3">
      <c r="H1349" s="128">
        <v>723</v>
      </c>
    </row>
    <row r="1350" spans="8:8" ht="15.75" thickBot="1" x14ac:dyDescent="0.3">
      <c r="H1350" s="128">
        <v>2543</v>
      </c>
    </row>
    <row r="1351" spans="8:8" ht="15.75" thickBot="1" x14ac:dyDescent="0.3">
      <c r="H1351" s="128">
        <v>2939</v>
      </c>
    </row>
    <row r="1352" spans="8:8" ht="15.75" thickBot="1" x14ac:dyDescent="0.3">
      <c r="H1352" s="128">
        <v>2308</v>
      </c>
    </row>
    <row r="1353" spans="8:8" ht="15.75" thickBot="1" x14ac:dyDescent="0.3">
      <c r="H1353" s="128">
        <v>7626</v>
      </c>
    </row>
    <row r="1354" spans="8:8" ht="15.75" thickBot="1" x14ac:dyDescent="0.3">
      <c r="H1354" s="128">
        <v>6924</v>
      </c>
    </row>
    <row r="1355" spans="8:8" ht="15.75" thickBot="1" x14ac:dyDescent="0.3">
      <c r="H1355" s="128">
        <v>1722</v>
      </c>
    </row>
    <row r="1356" spans="8:8" ht="15.75" thickBot="1" x14ac:dyDescent="0.3">
      <c r="H1356" s="128">
        <v>6642</v>
      </c>
    </row>
    <row r="1357" spans="8:8" ht="15.75" thickBot="1" x14ac:dyDescent="0.3">
      <c r="H1357" s="128">
        <v>1233</v>
      </c>
    </row>
    <row r="1358" spans="8:8" ht="15.75" thickBot="1" x14ac:dyDescent="0.3">
      <c r="H1358" s="128">
        <v>8910</v>
      </c>
    </row>
    <row r="1359" spans="8:8" ht="15.75" thickBot="1" x14ac:dyDescent="0.3">
      <c r="H1359" s="128">
        <v>6801</v>
      </c>
    </row>
    <row r="1360" spans="8:8" ht="15.75" thickBot="1" x14ac:dyDescent="0.3">
      <c r="H1360" s="128">
        <v>7899</v>
      </c>
    </row>
    <row r="1361" spans="8:8" ht="15.75" thickBot="1" x14ac:dyDescent="0.3">
      <c r="H1361" s="128">
        <v>3117</v>
      </c>
    </row>
    <row r="1362" spans="8:8" ht="15.75" thickBot="1" x14ac:dyDescent="0.3">
      <c r="H1362" s="128">
        <v>6976</v>
      </c>
    </row>
    <row r="1363" spans="8:8" ht="15.75" thickBot="1" x14ac:dyDescent="0.3">
      <c r="H1363" s="128">
        <v>1484</v>
      </c>
    </row>
    <row r="1364" spans="8:8" ht="15.75" thickBot="1" x14ac:dyDescent="0.3">
      <c r="H1364" s="128">
        <v>8577</v>
      </c>
    </row>
    <row r="1365" spans="8:8" ht="15.75" thickBot="1" x14ac:dyDescent="0.3">
      <c r="H1365" s="128">
        <v>8784</v>
      </c>
    </row>
    <row r="1366" spans="8:8" ht="15.75" thickBot="1" x14ac:dyDescent="0.3">
      <c r="H1366" s="128">
        <v>3781</v>
      </c>
    </row>
    <row r="1367" spans="8:8" ht="15.75" thickBot="1" x14ac:dyDescent="0.3">
      <c r="H1367" s="128">
        <v>6419</v>
      </c>
    </row>
    <row r="1368" spans="8:8" ht="15.75" thickBot="1" x14ac:dyDescent="0.3">
      <c r="H1368" s="128">
        <v>4404</v>
      </c>
    </row>
    <row r="1369" spans="8:8" ht="15.75" thickBot="1" x14ac:dyDescent="0.3">
      <c r="H1369" s="128">
        <v>6355</v>
      </c>
    </row>
    <row r="1370" spans="8:8" ht="15.75" thickBot="1" x14ac:dyDescent="0.3">
      <c r="H1370" s="128">
        <v>5440</v>
      </c>
    </row>
    <row r="1371" spans="8:8" ht="15.75" thickBot="1" x14ac:dyDescent="0.3">
      <c r="H1371" s="128">
        <v>8388</v>
      </c>
    </row>
    <row r="1372" spans="8:8" ht="15.75" thickBot="1" x14ac:dyDescent="0.3">
      <c r="H1372" s="128">
        <v>2024</v>
      </c>
    </row>
    <row r="1373" spans="8:8" ht="15.75" thickBot="1" x14ac:dyDescent="0.3">
      <c r="H1373" s="128">
        <v>4794</v>
      </c>
    </row>
    <row r="1374" spans="8:8" ht="15.75" thickBot="1" x14ac:dyDescent="0.3">
      <c r="H1374" s="128">
        <v>3898</v>
      </c>
    </row>
    <row r="1375" spans="8:8" ht="15.75" thickBot="1" x14ac:dyDescent="0.3">
      <c r="H1375" s="128">
        <v>289</v>
      </c>
    </row>
    <row r="1376" spans="8:8" ht="15.75" thickBot="1" x14ac:dyDescent="0.3">
      <c r="H1376" s="128">
        <v>8665</v>
      </c>
    </row>
    <row r="1377" spans="8:8" ht="15.75" thickBot="1" x14ac:dyDescent="0.3">
      <c r="H1377" s="128">
        <v>6243</v>
      </c>
    </row>
    <row r="1378" spans="8:8" ht="15.75" thickBot="1" x14ac:dyDescent="0.3">
      <c r="H1378" s="128">
        <v>3478</v>
      </c>
    </row>
    <row r="1379" spans="8:8" ht="15.75" thickBot="1" x14ac:dyDescent="0.3">
      <c r="H1379" s="128">
        <v>4742</v>
      </c>
    </row>
    <row r="1380" spans="8:8" ht="15.75" thickBot="1" x14ac:dyDescent="0.3">
      <c r="H1380" s="128">
        <v>6700</v>
      </c>
    </row>
    <row r="1381" spans="8:8" ht="15.75" thickBot="1" x14ac:dyDescent="0.3">
      <c r="H1381" s="128">
        <v>5507</v>
      </c>
    </row>
    <row r="1382" spans="8:8" ht="15.75" thickBot="1" x14ac:dyDescent="0.3">
      <c r="H1382" s="128">
        <v>2038</v>
      </c>
    </row>
    <row r="1383" spans="8:8" ht="15.75" thickBot="1" x14ac:dyDescent="0.3">
      <c r="H1383" s="128">
        <v>4363</v>
      </c>
    </row>
    <row r="1384" spans="8:8" ht="15.75" thickBot="1" x14ac:dyDescent="0.3">
      <c r="H1384" s="128">
        <v>5110</v>
      </c>
    </row>
    <row r="1385" spans="8:8" ht="15.75" thickBot="1" x14ac:dyDescent="0.3">
      <c r="H1385" s="128">
        <v>3641</v>
      </c>
    </row>
    <row r="1386" spans="8:8" ht="15.75" thickBot="1" x14ac:dyDescent="0.3">
      <c r="H1386" s="128">
        <v>8572</v>
      </c>
    </row>
    <row r="1387" spans="8:8" ht="15.75" thickBot="1" x14ac:dyDescent="0.3">
      <c r="H1387" s="128">
        <v>1547</v>
      </c>
    </row>
    <row r="1388" spans="8:8" ht="15.75" thickBot="1" x14ac:dyDescent="0.3">
      <c r="H1388" s="128">
        <v>602</v>
      </c>
    </row>
    <row r="1389" spans="8:8" ht="15.75" thickBot="1" x14ac:dyDescent="0.3">
      <c r="H1389" s="128">
        <v>3993</v>
      </c>
    </row>
    <row r="1390" spans="8:8" ht="15.75" thickBot="1" x14ac:dyDescent="0.3">
      <c r="H1390" s="128">
        <v>3596</v>
      </c>
    </row>
    <row r="1391" spans="8:8" ht="15.75" thickBot="1" x14ac:dyDescent="0.3">
      <c r="H1391" s="128">
        <v>882</v>
      </c>
    </row>
    <row r="1392" spans="8:8" ht="15.75" thickBot="1" x14ac:dyDescent="0.3">
      <c r="H1392" s="128">
        <v>5670</v>
      </c>
    </row>
    <row r="1393" spans="8:8" ht="15.75" thickBot="1" x14ac:dyDescent="0.3">
      <c r="H1393" s="128">
        <v>6006</v>
      </c>
    </row>
    <row r="1394" spans="8:8" ht="15.75" thickBot="1" x14ac:dyDescent="0.3">
      <c r="H1394" s="128">
        <v>104</v>
      </c>
    </row>
    <row r="1395" spans="8:8" ht="15.75" thickBot="1" x14ac:dyDescent="0.3">
      <c r="H1395" s="128">
        <v>4580</v>
      </c>
    </row>
    <row r="1396" spans="8:8" ht="15.75" thickBot="1" x14ac:dyDescent="0.3">
      <c r="H1396" s="128">
        <v>1083</v>
      </c>
    </row>
    <row r="1397" spans="8:8" ht="15.75" thickBot="1" x14ac:dyDescent="0.3">
      <c r="H1397" s="128">
        <v>5093</v>
      </c>
    </row>
    <row r="1398" spans="8:8" ht="15.75" thickBot="1" x14ac:dyDescent="0.3">
      <c r="H1398" s="128">
        <v>4874</v>
      </c>
    </row>
    <row r="1399" spans="8:8" ht="15.75" thickBot="1" x14ac:dyDescent="0.3">
      <c r="H1399" s="128">
        <v>1754</v>
      </c>
    </row>
    <row r="1400" spans="8:8" ht="15.75" thickBot="1" x14ac:dyDescent="0.3">
      <c r="H1400" s="128">
        <v>1235</v>
      </c>
    </row>
    <row r="1401" spans="8:8" ht="15.75" thickBot="1" x14ac:dyDescent="0.3">
      <c r="H1401" s="128">
        <v>6587</v>
      </c>
    </row>
    <row r="1402" spans="8:8" ht="15.75" thickBot="1" x14ac:dyDescent="0.3">
      <c r="H1402" s="128">
        <v>8522</v>
      </c>
    </row>
    <row r="1403" spans="8:8" ht="15.75" thickBot="1" x14ac:dyDescent="0.3">
      <c r="H1403" s="128">
        <v>6544</v>
      </c>
    </row>
    <row r="1404" spans="8:8" ht="15.75" thickBot="1" x14ac:dyDescent="0.3">
      <c r="H1404" s="128">
        <v>7165</v>
      </c>
    </row>
    <row r="1405" spans="8:8" ht="15.75" thickBot="1" x14ac:dyDescent="0.3">
      <c r="H1405" s="128">
        <v>3298</v>
      </c>
    </row>
    <row r="1406" spans="8:8" ht="15.75" thickBot="1" x14ac:dyDescent="0.3">
      <c r="H1406" s="128">
        <v>2185</v>
      </c>
    </row>
    <row r="1407" spans="8:8" ht="15.75" thickBot="1" x14ac:dyDescent="0.3">
      <c r="H1407" s="128">
        <v>6579</v>
      </c>
    </row>
    <row r="1408" spans="8:8" ht="15.75" thickBot="1" x14ac:dyDescent="0.3">
      <c r="H1408" s="128">
        <v>3022</v>
      </c>
    </row>
    <row r="1409" spans="8:8" ht="15.75" thickBot="1" x14ac:dyDescent="0.3">
      <c r="H1409" s="128">
        <v>6515</v>
      </c>
    </row>
    <row r="1410" spans="8:8" ht="15.75" thickBot="1" x14ac:dyDescent="0.3">
      <c r="H1410" s="128">
        <v>2450</v>
      </c>
    </row>
    <row r="1411" spans="8:8" ht="15.75" thickBot="1" x14ac:dyDescent="0.3">
      <c r="H1411" s="128">
        <v>4029</v>
      </c>
    </row>
    <row r="1412" spans="8:8" ht="15.75" thickBot="1" x14ac:dyDescent="0.3">
      <c r="H1412" s="128">
        <v>4870</v>
      </c>
    </row>
    <row r="1413" spans="8:8" ht="15.75" thickBot="1" x14ac:dyDescent="0.3">
      <c r="H1413" s="128">
        <v>1041</v>
      </c>
    </row>
    <row r="1414" spans="8:8" ht="15.75" thickBot="1" x14ac:dyDescent="0.3">
      <c r="H1414" s="128">
        <v>4657</v>
      </c>
    </row>
    <row r="1415" spans="8:8" ht="15.75" thickBot="1" x14ac:dyDescent="0.3">
      <c r="H1415" s="128">
        <v>4443</v>
      </c>
    </row>
    <row r="1416" spans="8:8" ht="15.75" thickBot="1" x14ac:dyDescent="0.3">
      <c r="H1416" s="128">
        <v>5669</v>
      </c>
    </row>
    <row r="1417" spans="8:8" ht="15.75" thickBot="1" x14ac:dyDescent="0.3">
      <c r="H1417" s="128">
        <v>3948</v>
      </c>
    </row>
    <row r="1418" spans="8:8" ht="15.75" thickBot="1" x14ac:dyDescent="0.3">
      <c r="H1418" s="128">
        <v>1826</v>
      </c>
    </row>
    <row r="1419" spans="8:8" ht="15.75" thickBot="1" x14ac:dyDescent="0.3">
      <c r="H1419" s="128">
        <v>6490</v>
      </c>
    </row>
    <row r="1420" spans="8:8" ht="15.75" thickBot="1" x14ac:dyDescent="0.3">
      <c r="H1420" s="128">
        <v>7867</v>
      </c>
    </row>
    <row r="1421" spans="8:8" ht="15.75" thickBot="1" x14ac:dyDescent="0.3">
      <c r="H1421" s="128">
        <v>4004</v>
      </c>
    </row>
    <row r="1422" spans="8:8" ht="15.75" thickBot="1" x14ac:dyDescent="0.3">
      <c r="H1422" s="128">
        <v>1348</v>
      </c>
    </row>
    <row r="1423" spans="8:8" ht="15.75" thickBot="1" x14ac:dyDescent="0.3">
      <c r="H1423" s="128">
        <v>1200</v>
      </c>
    </row>
    <row r="1424" spans="8:8" ht="15.75" thickBot="1" x14ac:dyDescent="0.3">
      <c r="H1424" s="128">
        <v>8268</v>
      </c>
    </row>
    <row r="1425" spans="8:8" ht="15.75" thickBot="1" x14ac:dyDescent="0.3">
      <c r="H1425" s="128">
        <v>970</v>
      </c>
    </row>
    <row r="1426" spans="8:8" ht="15.75" thickBot="1" x14ac:dyDescent="0.3">
      <c r="H1426" s="128">
        <v>8280</v>
      </c>
    </row>
    <row r="1427" spans="8:8" ht="15.75" thickBot="1" x14ac:dyDescent="0.3">
      <c r="H1427" s="128">
        <v>2671</v>
      </c>
    </row>
    <row r="1428" spans="8:8" ht="15.75" thickBot="1" x14ac:dyDescent="0.3">
      <c r="H1428" s="128">
        <v>8343</v>
      </c>
    </row>
    <row r="1429" spans="8:8" ht="15.75" thickBot="1" x14ac:dyDescent="0.3">
      <c r="H1429" s="128">
        <v>7669</v>
      </c>
    </row>
    <row r="1430" spans="8:8" ht="15.75" thickBot="1" x14ac:dyDescent="0.3">
      <c r="H1430" s="128">
        <v>8125</v>
      </c>
    </row>
    <row r="1431" spans="8:8" ht="15.75" thickBot="1" x14ac:dyDescent="0.3">
      <c r="H1431" s="128">
        <v>4562</v>
      </c>
    </row>
    <row r="1432" spans="8:8" ht="15.75" thickBot="1" x14ac:dyDescent="0.3">
      <c r="H1432" s="128">
        <v>5638</v>
      </c>
    </row>
    <row r="1433" spans="8:8" ht="15.75" thickBot="1" x14ac:dyDescent="0.3">
      <c r="H1433" s="128">
        <v>3192</v>
      </c>
    </row>
    <row r="1434" spans="8:8" ht="15.75" thickBot="1" x14ac:dyDescent="0.3">
      <c r="H1434" s="128">
        <v>4832</v>
      </c>
    </row>
    <row r="1435" spans="8:8" ht="15.75" thickBot="1" x14ac:dyDescent="0.3">
      <c r="H1435" s="128">
        <v>4069</v>
      </c>
    </row>
    <row r="1436" spans="8:8" ht="15.75" thickBot="1" x14ac:dyDescent="0.3">
      <c r="H1436" s="128">
        <v>8337</v>
      </c>
    </row>
    <row r="1437" spans="8:8" ht="15.75" thickBot="1" x14ac:dyDescent="0.3">
      <c r="H1437" s="128">
        <v>3924</v>
      </c>
    </row>
    <row r="1438" spans="8:8" ht="15.75" thickBot="1" x14ac:dyDescent="0.3">
      <c r="H1438" s="128">
        <v>523</v>
      </c>
    </row>
    <row r="1439" spans="8:8" ht="15.75" thickBot="1" x14ac:dyDescent="0.3">
      <c r="H1439" s="128">
        <v>1474</v>
      </c>
    </row>
    <row r="1440" spans="8:8" ht="15.75" thickBot="1" x14ac:dyDescent="0.3">
      <c r="H1440" s="128">
        <v>1590</v>
      </c>
    </row>
    <row r="1441" spans="8:8" ht="15.75" thickBot="1" x14ac:dyDescent="0.3">
      <c r="H1441" s="128">
        <v>4765</v>
      </c>
    </row>
    <row r="1442" spans="8:8" ht="15.75" thickBot="1" x14ac:dyDescent="0.3">
      <c r="H1442" s="128">
        <v>5365</v>
      </c>
    </row>
    <row r="1443" spans="8:8" ht="15.75" thickBot="1" x14ac:dyDescent="0.3">
      <c r="H1443" s="128">
        <v>4528</v>
      </c>
    </row>
    <row r="1444" spans="8:8" ht="15.75" thickBot="1" x14ac:dyDescent="0.3">
      <c r="H1444" s="128">
        <v>3869</v>
      </c>
    </row>
    <row r="1445" spans="8:8" ht="15.75" thickBot="1" x14ac:dyDescent="0.3">
      <c r="H1445" s="128">
        <v>8575</v>
      </c>
    </row>
    <row r="1446" spans="8:8" ht="15.75" thickBot="1" x14ac:dyDescent="0.3">
      <c r="H1446" s="128">
        <v>5097</v>
      </c>
    </row>
    <row r="1447" spans="8:8" ht="15.75" thickBot="1" x14ac:dyDescent="0.3">
      <c r="H1447" s="128">
        <v>1141</v>
      </c>
    </row>
    <row r="1448" spans="8:8" ht="15.75" thickBot="1" x14ac:dyDescent="0.3">
      <c r="H1448" s="128">
        <v>4646</v>
      </c>
    </row>
    <row r="1449" spans="8:8" ht="15.75" thickBot="1" x14ac:dyDescent="0.3">
      <c r="H1449" s="128">
        <v>796</v>
      </c>
    </row>
    <row r="1450" spans="8:8" ht="15.75" thickBot="1" x14ac:dyDescent="0.3">
      <c r="H1450" s="128">
        <v>3155</v>
      </c>
    </row>
    <row r="1451" spans="8:8" ht="15.75" thickBot="1" x14ac:dyDescent="0.3">
      <c r="H1451" s="128">
        <v>5779</v>
      </c>
    </row>
    <row r="1452" spans="8:8" ht="15.75" thickBot="1" x14ac:dyDescent="0.3">
      <c r="H1452" s="128">
        <v>914</v>
      </c>
    </row>
    <row r="1453" spans="8:8" ht="15.75" thickBot="1" x14ac:dyDescent="0.3">
      <c r="H1453" s="128">
        <v>3125</v>
      </c>
    </row>
    <row r="1454" spans="8:8" ht="15.75" thickBot="1" x14ac:dyDescent="0.3">
      <c r="H1454" s="128">
        <v>3692</v>
      </c>
    </row>
    <row r="1455" spans="8:8" ht="15.75" thickBot="1" x14ac:dyDescent="0.3">
      <c r="H1455" s="128">
        <v>3710</v>
      </c>
    </row>
    <row r="1456" spans="8:8" ht="15.75" thickBot="1" x14ac:dyDescent="0.3">
      <c r="H1456" s="128">
        <v>8158</v>
      </c>
    </row>
    <row r="1457" spans="8:8" ht="15.75" thickBot="1" x14ac:dyDescent="0.3">
      <c r="H1457" s="128">
        <v>6096</v>
      </c>
    </row>
    <row r="1458" spans="8:8" ht="15.75" thickBot="1" x14ac:dyDescent="0.3">
      <c r="H1458" s="128">
        <v>7346</v>
      </c>
    </row>
    <row r="1459" spans="8:8" ht="15.75" thickBot="1" x14ac:dyDescent="0.3">
      <c r="H1459" s="128">
        <v>1610</v>
      </c>
    </row>
    <row r="1460" spans="8:8" ht="15.75" thickBot="1" x14ac:dyDescent="0.3">
      <c r="H1460" s="128">
        <v>8349</v>
      </c>
    </row>
    <row r="1461" spans="8:8" ht="15.75" thickBot="1" x14ac:dyDescent="0.3">
      <c r="H1461" s="128">
        <v>847</v>
      </c>
    </row>
    <row r="1462" spans="8:8" ht="15.75" thickBot="1" x14ac:dyDescent="0.3">
      <c r="H1462" s="128">
        <v>5845</v>
      </c>
    </row>
    <row r="1463" spans="8:8" ht="15.75" thickBot="1" x14ac:dyDescent="0.3">
      <c r="H1463" s="128">
        <v>6428</v>
      </c>
    </row>
    <row r="1464" spans="8:8" ht="15.75" thickBot="1" x14ac:dyDescent="0.3">
      <c r="H1464" s="128">
        <v>7798</v>
      </c>
    </row>
    <row r="1465" spans="8:8" ht="15.75" thickBot="1" x14ac:dyDescent="0.3">
      <c r="H1465" s="128">
        <v>6412</v>
      </c>
    </row>
    <row r="1466" spans="8:8" ht="15.75" thickBot="1" x14ac:dyDescent="0.3">
      <c r="H1466" s="128">
        <v>1464</v>
      </c>
    </row>
    <row r="1467" spans="8:8" ht="15.75" thickBot="1" x14ac:dyDescent="0.3">
      <c r="H1467" s="128">
        <v>1967</v>
      </c>
    </row>
    <row r="1468" spans="8:8" ht="15.75" thickBot="1" x14ac:dyDescent="0.3">
      <c r="H1468" s="128">
        <v>7673</v>
      </c>
    </row>
    <row r="1469" spans="8:8" ht="15.75" thickBot="1" x14ac:dyDescent="0.3">
      <c r="H1469" s="128">
        <v>1419</v>
      </c>
    </row>
    <row r="1470" spans="8:8" ht="15.75" thickBot="1" x14ac:dyDescent="0.3">
      <c r="H1470" s="128">
        <v>8575</v>
      </c>
    </row>
    <row r="1471" spans="8:8" ht="15.75" thickBot="1" x14ac:dyDescent="0.3">
      <c r="H1471" s="128">
        <v>1136</v>
      </c>
    </row>
    <row r="1472" spans="8:8" ht="15.75" thickBot="1" x14ac:dyDescent="0.3">
      <c r="H1472" s="128">
        <v>4739</v>
      </c>
    </row>
    <row r="1473" spans="8:8" ht="15.75" thickBot="1" x14ac:dyDescent="0.3">
      <c r="H1473" s="128">
        <v>5765</v>
      </c>
    </row>
    <row r="1474" spans="8:8" ht="15.75" thickBot="1" x14ac:dyDescent="0.3">
      <c r="H1474" s="128">
        <v>7752</v>
      </c>
    </row>
    <row r="1475" spans="8:8" ht="15.75" thickBot="1" x14ac:dyDescent="0.3">
      <c r="H1475" s="128">
        <v>7816</v>
      </c>
    </row>
    <row r="1476" spans="8:8" ht="15.75" thickBot="1" x14ac:dyDescent="0.3">
      <c r="H1476" s="128">
        <v>2523</v>
      </c>
    </row>
    <row r="1477" spans="8:8" ht="15.75" thickBot="1" x14ac:dyDescent="0.3">
      <c r="H1477" s="128">
        <v>6206</v>
      </c>
    </row>
    <row r="1478" spans="8:8" ht="15.75" thickBot="1" x14ac:dyDescent="0.3">
      <c r="H1478" s="128">
        <v>1331</v>
      </c>
    </row>
    <row r="1479" spans="8:8" ht="15.75" thickBot="1" x14ac:dyDescent="0.3">
      <c r="H1479" s="128">
        <v>6985</v>
      </c>
    </row>
    <row r="1480" spans="8:8" ht="15.75" thickBot="1" x14ac:dyDescent="0.3">
      <c r="H1480" s="128">
        <v>4969</v>
      </c>
    </row>
    <row r="1481" spans="8:8" ht="15.75" thickBot="1" x14ac:dyDescent="0.3">
      <c r="H1481" s="128">
        <v>2973</v>
      </c>
    </row>
    <row r="1482" spans="8:8" ht="15.75" thickBot="1" x14ac:dyDescent="0.3">
      <c r="H1482" s="128">
        <v>3424</v>
      </c>
    </row>
    <row r="1483" spans="8:8" ht="15.75" thickBot="1" x14ac:dyDescent="0.3">
      <c r="H1483" s="128">
        <v>3788</v>
      </c>
    </row>
    <row r="1484" spans="8:8" ht="15.75" thickBot="1" x14ac:dyDescent="0.3">
      <c r="H1484" s="128">
        <v>5318</v>
      </c>
    </row>
    <row r="1485" spans="8:8" ht="15.75" thickBot="1" x14ac:dyDescent="0.3">
      <c r="H1485" s="128">
        <v>7984</v>
      </c>
    </row>
    <row r="1486" spans="8:8" ht="15.75" thickBot="1" x14ac:dyDescent="0.3">
      <c r="H1486" s="128">
        <v>7936</v>
      </c>
    </row>
    <row r="1487" spans="8:8" ht="15.75" thickBot="1" x14ac:dyDescent="0.3">
      <c r="H1487" s="128">
        <v>246</v>
      </c>
    </row>
    <row r="1488" spans="8:8" ht="15.75" thickBot="1" x14ac:dyDescent="0.3">
      <c r="H1488" s="128">
        <v>2335</v>
      </c>
    </row>
    <row r="1489" spans="8:8" ht="15.75" thickBot="1" x14ac:dyDescent="0.3">
      <c r="H1489" s="128">
        <v>5079</v>
      </c>
    </row>
    <row r="1490" spans="8:8" ht="15.75" thickBot="1" x14ac:dyDescent="0.3">
      <c r="H1490" s="128">
        <v>7228</v>
      </c>
    </row>
    <row r="1491" spans="8:8" ht="15.75" thickBot="1" x14ac:dyDescent="0.3">
      <c r="H1491" s="128">
        <v>6858</v>
      </c>
    </row>
    <row r="1492" spans="8:8" ht="15.75" thickBot="1" x14ac:dyDescent="0.3">
      <c r="H1492" s="128">
        <v>1665</v>
      </c>
    </row>
    <row r="1493" spans="8:8" ht="15.75" thickBot="1" x14ac:dyDescent="0.3">
      <c r="H1493" s="128">
        <v>3647</v>
      </c>
    </row>
    <row r="1494" spans="8:8" ht="15.75" thickBot="1" x14ac:dyDescent="0.3">
      <c r="H1494" s="128">
        <v>8533</v>
      </c>
    </row>
    <row r="1495" spans="8:8" ht="15.75" thickBot="1" x14ac:dyDescent="0.3">
      <c r="H1495" s="128">
        <v>3553</v>
      </c>
    </row>
    <row r="1496" spans="8:8" ht="15.75" thickBot="1" x14ac:dyDescent="0.3">
      <c r="H1496" s="128">
        <v>2072</v>
      </c>
    </row>
    <row r="1497" spans="8:8" ht="15.75" thickBot="1" x14ac:dyDescent="0.3">
      <c r="H1497" s="128">
        <v>3801</v>
      </c>
    </row>
    <row r="1498" spans="8:8" ht="15.75" thickBot="1" x14ac:dyDescent="0.3">
      <c r="H1498" s="128">
        <v>6416</v>
      </c>
    </row>
    <row r="1499" spans="8:8" ht="15.75" thickBot="1" x14ac:dyDescent="0.3">
      <c r="H1499" s="128">
        <v>4183</v>
      </c>
    </row>
    <row r="1500" spans="8:8" ht="15.75" thickBot="1" x14ac:dyDescent="0.3">
      <c r="H1500" s="128">
        <v>4802</v>
      </c>
    </row>
    <row r="1501" spans="8:8" ht="15.75" thickBot="1" x14ac:dyDescent="0.3">
      <c r="H1501" s="128">
        <v>6227</v>
      </c>
    </row>
    <row r="1502" spans="8:8" ht="15.75" thickBot="1" x14ac:dyDescent="0.3">
      <c r="H1502" s="128">
        <v>7012</v>
      </c>
    </row>
    <row r="1503" spans="8:8" ht="15.75" thickBot="1" x14ac:dyDescent="0.3">
      <c r="H1503" s="128">
        <v>4519</v>
      </c>
    </row>
    <row r="1504" spans="8:8" ht="15.75" thickBot="1" x14ac:dyDescent="0.3">
      <c r="H1504" s="128">
        <v>8712</v>
      </c>
    </row>
    <row r="1505" spans="8:8" ht="15.75" thickBot="1" x14ac:dyDescent="0.3">
      <c r="H1505" s="128">
        <v>5196</v>
      </c>
    </row>
    <row r="1506" spans="8:8" ht="15.75" thickBot="1" x14ac:dyDescent="0.3">
      <c r="H1506" s="128">
        <v>2968</v>
      </c>
    </row>
    <row r="1507" spans="8:8" ht="15.75" thickBot="1" x14ac:dyDescent="0.3">
      <c r="H1507" s="128">
        <v>8780</v>
      </c>
    </row>
    <row r="1508" spans="8:8" ht="15.75" thickBot="1" x14ac:dyDescent="0.3">
      <c r="H1508" s="128">
        <v>5574</v>
      </c>
    </row>
    <row r="1509" spans="8:8" ht="15.75" thickBot="1" x14ac:dyDescent="0.3">
      <c r="H1509" s="128">
        <v>1589</v>
      </c>
    </row>
    <row r="1510" spans="8:8" ht="15.75" thickBot="1" x14ac:dyDescent="0.3">
      <c r="H1510" s="128">
        <v>5907</v>
      </c>
    </row>
    <row r="1511" spans="8:8" ht="15.75" thickBot="1" x14ac:dyDescent="0.3">
      <c r="H1511" s="128">
        <v>7869</v>
      </c>
    </row>
    <row r="1512" spans="8:8" ht="15.75" thickBot="1" x14ac:dyDescent="0.3">
      <c r="H1512" s="128">
        <v>4251</v>
      </c>
    </row>
    <row r="1513" spans="8:8" ht="15.75" thickBot="1" x14ac:dyDescent="0.3">
      <c r="H1513" s="128">
        <v>6768</v>
      </c>
    </row>
    <row r="1514" spans="8:8" ht="15.75" thickBot="1" x14ac:dyDescent="0.3">
      <c r="H1514" s="128">
        <v>4870</v>
      </c>
    </row>
    <row r="1515" spans="8:8" ht="15.75" thickBot="1" x14ac:dyDescent="0.3">
      <c r="H1515" s="128">
        <v>8077</v>
      </c>
    </row>
    <row r="1516" spans="8:8" ht="15.75" thickBot="1" x14ac:dyDescent="0.3">
      <c r="H1516" s="128">
        <v>4222</v>
      </c>
    </row>
    <row r="1517" spans="8:8" ht="15.75" thickBot="1" x14ac:dyDescent="0.3">
      <c r="H1517" s="128">
        <v>7542</v>
      </c>
    </row>
    <row r="1518" spans="8:8" ht="15.75" thickBot="1" x14ac:dyDescent="0.3">
      <c r="H1518" s="128">
        <v>3757</v>
      </c>
    </row>
    <row r="1519" spans="8:8" ht="15.75" thickBot="1" x14ac:dyDescent="0.3">
      <c r="H1519" s="128">
        <v>8548</v>
      </c>
    </row>
    <row r="1520" spans="8:8" ht="15.75" thickBot="1" x14ac:dyDescent="0.3">
      <c r="H1520" s="128">
        <v>6647</v>
      </c>
    </row>
    <row r="1521" spans="8:8" x14ac:dyDescent="0.25">
      <c r="H1521" s="36"/>
    </row>
    <row r="1522" spans="8:8" x14ac:dyDescent="0.25">
      <c r="H1522" s="36"/>
    </row>
    <row r="1523" spans="8:8" x14ac:dyDescent="0.25">
      <c r="H1523" s="36"/>
    </row>
    <row r="1524" spans="8:8" x14ac:dyDescent="0.25">
      <c r="H1524" s="36"/>
    </row>
    <row r="1525" spans="8:8" x14ac:dyDescent="0.25">
      <c r="H1525" s="36"/>
    </row>
    <row r="1526" spans="8:8" x14ac:dyDescent="0.25">
      <c r="H1526" s="36"/>
    </row>
    <row r="1527" spans="8:8" x14ac:dyDescent="0.25">
      <c r="H1527" s="36"/>
    </row>
    <row r="1528" spans="8:8" x14ac:dyDescent="0.25">
      <c r="H1528" s="36"/>
    </row>
    <row r="1529" spans="8:8" x14ac:dyDescent="0.25">
      <c r="H1529" s="36"/>
    </row>
    <row r="1530" spans="8:8" x14ac:dyDescent="0.25">
      <c r="H1530" s="36"/>
    </row>
    <row r="1531" spans="8:8" x14ac:dyDescent="0.25">
      <c r="H1531" s="36"/>
    </row>
    <row r="1532" spans="8:8" x14ac:dyDescent="0.25">
      <c r="H1532" s="36"/>
    </row>
    <row r="1533" spans="8:8" x14ac:dyDescent="0.25">
      <c r="H1533" s="36"/>
    </row>
    <row r="1534" spans="8:8" x14ac:dyDescent="0.25">
      <c r="H1534" s="36"/>
    </row>
    <row r="1535" spans="8:8" x14ac:dyDescent="0.25">
      <c r="H1535" s="36"/>
    </row>
    <row r="1536" spans="8:8" x14ac:dyDescent="0.25">
      <c r="H1536" s="36"/>
    </row>
    <row r="1537" spans="8:8" x14ac:dyDescent="0.25">
      <c r="H1537" s="36"/>
    </row>
    <row r="1538" spans="8:8" x14ac:dyDescent="0.25">
      <c r="H1538" s="36"/>
    </row>
    <row r="1539" spans="8:8" x14ac:dyDescent="0.25">
      <c r="H1539" s="36"/>
    </row>
    <row r="1540" spans="8:8" x14ac:dyDescent="0.25">
      <c r="H1540" s="36"/>
    </row>
    <row r="1541" spans="8:8" x14ac:dyDescent="0.25">
      <c r="H1541" s="36"/>
    </row>
    <row r="1542" spans="8:8" x14ac:dyDescent="0.25">
      <c r="H1542" s="36"/>
    </row>
    <row r="1543" spans="8:8" x14ac:dyDescent="0.25">
      <c r="H1543" s="36"/>
    </row>
    <row r="1544" spans="8:8" x14ac:dyDescent="0.25">
      <c r="H1544" s="36"/>
    </row>
    <row r="1545" spans="8:8" x14ac:dyDescent="0.25">
      <c r="H1545" s="36"/>
    </row>
    <row r="1546" spans="8:8" x14ac:dyDescent="0.25">
      <c r="H1546" s="36"/>
    </row>
    <row r="1547" spans="8:8" x14ac:dyDescent="0.25">
      <c r="H1547" s="36"/>
    </row>
    <row r="1548" spans="8:8" x14ac:dyDescent="0.25">
      <c r="H1548" s="36"/>
    </row>
    <row r="1549" spans="8:8" x14ac:dyDescent="0.25">
      <c r="H1549" s="36"/>
    </row>
    <row r="1550" spans="8:8" x14ac:dyDescent="0.25">
      <c r="H1550" s="36"/>
    </row>
    <row r="1551" spans="8:8" x14ac:dyDescent="0.25">
      <c r="H1551" s="36"/>
    </row>
    <row r="1552" spans="8:8" x14ac:dyDescent="0.25">
      <c r="H1552" s="36"/>
    </row>
    <row r="1553" spans="8:8" x14ac:dyDescent="0.25">
      <c r="H1553" s="36"/>
    </row>
    <row r="1554" spans="8:8" x14ac:dyDescent="0.25">
      <c r="H1554" s="36"/>
    </row>
    <row r="1555" spans="8:8" x14ac:dyDescent="0.25">
      <c r="H1555" s="36"/>
    </row>
    <row r="1556" spans="8:8" x14ac:dyDescent="0.25">
      <c r="H1556" s="36"/>
    </row>
    <row r="1557" spans="8:8" x14ac:dyDescent="0.25">
      <c r="H1557" s="36"/>
    </row>
    <row r="1558" spans="8:8" x14ac:dyDescent="0.25">
      <c r="H1558" s="36"/>
    </row>
    <row r="1559" spans="8:8" x14ac:dyDescent="0.25">
      <c r="H1559" s="36"/>
    </row>
  </sheetData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zoomScale="115" zoomScaleNormal="115" workbookViewId="0">
      <selection activeCell="E4" sqref="E4"/>
    </sheetView>
  </sheetViews>
  <sheetFormatPr defaultRowHeight="15" x14ac:dyDescent="0.25"/>
  <cols>
    <col min="1" max="1" width="4.85546875" customWidth="1"/>
    <col min="2" max="2" width="3.140625" customWidth="1"/>
    <col min="3" max="3" width="17" style="15" customWidth="1"/>
    <col min="4" max="4" width="14" style="15" customWidth="1"/>
    <col min="5" max="5" width="40.85546875" style="24" customWidth="1"/>
    <col min="6" max="6" width="20.42578125" style="22" customWidth="1"/>
    <col min="7" max="7" width="19.85546875" style="22" customWidth="1"/>
    <col min="8" max="8" width="21.5703125" style="22" customWidth="1"/>
  </cols>
  <sheetData>
    <row r="1" spans="1:15" ht="14.25" customHeight="1" x14ac:dyDescent="0.25">
      <c r="C1" s="10"/>
      <c r="D1" s="10"/>
      <c r="E1" s="23"/>
      <c r="F1" s="1"/>
      <c r="G1" s="1"/>
      <c r="H1" s="1"/>
    </row>
    <row r="2" spans="1:15" x14ac:dyDescent="0.25">
      <c r="C2" s="29"/>
      <c r="D2" s="29"/>
      <c r="E2" s="29" t="s">
        <v>1</v>
      </c>
      <c r="F2" s="30" t="s">
        <v>2</v>
      </c>
      <c r="G2" s="29" t="s">
        <v>0</v>
      </c>
      <c r="H2" s="29" t="s">
        <v>3</v>
      </c>
    </row>
    <row r="3" spans="1:15" ht="16.5" x14ac:dyDescent="0.25">
      <c r="C3" s="25"/>
      <c r="D3" s="19"/>
      <c r="E3" s="106" t="s">
        <v>59</v>
      </c>
      <c r="F3" s="26"/>
      <c r="G3" s="26"/>
      <c r="H3" s="26"/>
    </row>
    <row r="4" spans="1:15" ht="16.5" x14ac:dyDescent="0.25">
      <c r="C4" s="25"/>
      <c r="D4" s="19"/>
      <c r="E4" s="107"/>
      <c r="F4" s="26"/>
      <c r="G4" s="26"/>
      <c r="H4" s="26"/>
    </row>
    <row r="5" spans="1:15" ht="16.5" x14ac:dyDescent="0.25">
      <c r="C5" s="25"/>
      <c r="D5" s="19"/>
      <c r="E5" s="107"/>
      <c r="F5" s="26"/>
      <c r="G5" s="26"/>
      <c r="H5" s="26"/>
    </row>
    <row r="6" spans="1:15" ht="16.5" x14ac:dyDescent="0.25">
      <c r="A6" s="31"/>
      <c r="C6" s="25"/>
      <c r="D6" s="19"/>
      <c r="E6" s="107"/>
      <c r="F6" s="26"/>
      <c r="G6" s="26"/>
      <c r="H6" s="26"/>
    </row>
    <row r="7" spans="1:15" ht="15" customHeight="1" x14ac:dyDescent="0.25">
      <c r="A7" s="31"/>
      <c r="C7" s="25"/>
      <c r="D7" s="19"/>
      <c r="E7" s="107"/>
      <c r="F7" s="26"/>
      <c r="G7" s="26"/>
      <c r="H7" s="26"/>
    </row>
    <row r="8" spans="1:15" ht="15" customHeight="1" x14ac:dyDescent="0.25">
      <c r="A8" s="31"/>
      <c r="C8" s="25"/>
      <c r="D8" s="19"/>
      <c r="E8" s="107"/>
      <c r="F8" s="26"/>
      <c r="G8" s="26"/>
      <c r="H8" s="26"/>
      <c r="O8" t="s">
        <v>14</v>
      </c>
    </row>
    <row r="9" spans="1:15" ht="16.5" x14ac:dyDescent="0.25">
      <c r="A9" s="31"/>
      <c r="C9" s="25"/>
      <c r="D9" s="19"/>
      <c r="E9" s="107"/>
      <c r="F9" s="26"/>
      <c r="G9" s="26"/>
      <c r="H9" s="26"/>
    </row>
    <row r="10" spans="1:15" ht="15" customHeight="1" x14ac:dyDescent="0.25">
      <c r="A10" s="31"/>
      <c r="C10" s="25"/>
      <c r="D10" s="19"/>
      <c r="E10" s="107"/>
      <c r="F10" s="26"/>
      <c r="G10" s="26"/>
      <c r="H10" s="26"/>
    </row>
    <row r="11" spans="1:15" ht="15" customHeight="1" x14ac:dyDescent="0.25">
      <c r="A11" s="31"/>
      <c r="C11" s="25"/>
      <c r="D11" s="19"/>
      <c r="E11" s="107"/>
      <c r="F11" s="26"/>
      <c r="G11" s="26"/>
      <c r="H11" s="26"/>
    </row>
    <row r="12" spans="1:15" ht="16.5" x14ac:dyDescent="0.25">
      <c r="A12" s="31"/>
      <c r="C12" s="25"/>
      <c r="D12" s="19"/>
      <c r="E12" s="107"/>
      <c r="F12" s="26"/>
      <c r="G12" s="26"/>
      <c r="H12" s="26"/>
    </row>
    <row r="13" spans="1:15" ht="15" customHeight="1" x14ac:dyDescent="0.25">
      <c r="A13" s="31"/>
      <c r="C13" s="25"/>
      <c r="D13" s="19"/>
      <c r="E13" s="107"/>
      <c r="F13" s="26"/>
      <c r="G13" s="26"/>
      <c r="H13" s="26"/>
    </row>
    <row r="14" spans="1:15" ht="16.5" x14ac:dyDescent="0.25">
      <c r="A14" s="31"/>
      <c r="C14" s="25"/>
      <c r="D14" s="19"/>
      <c r="E14" s="107"/>
      <c r="F14" s="26"/>
      <c r="G14" s="26"/>
      <c r="H14" s="26"/>
    </row>
    <row r="15" spans="1:15" ht="15" customHeight="1" x14ac:dyDescent="0.25">
      <c r="A15" s="31"/>
      <c r="C15" s="25"/>
      <c r="D15" s="19"/>
      <c r="E15" s="107"/>
      <c r="F15" s="26"/>
      <c r="G15" s="26"/>
      <c r="H15" s="26"/>
    </row>
    <row r="16" spans="1:15" ht="15" customHeight="1" x14ac:dyDescent="0.25">
      <c r="A16" s="31"/>
      <c r="C16" s="25"/>
      <c r="D16" s="19"/>
      <c r="E16" s="107"/>
      <c r="F16" s="26"/>
      <c r="G16" s="26"/>
      <c r="H16" s="26"/>
    </row>
    <row r="17" spans="1:8" ht="15" customHeight="1" x14ac:dyDescent="0.25">
      <c r="A17" s="31"/>
      <c r="C17" s="25"/>
      <c r="D17" s="19"/>
      <c r="E17" s="107"/>
      <c r="F17" s="26"/>
      <c r="G17" s="26"/>
      <c r="H17" s="26"/>
    </row>
    <row r="18" spans="1:8" ht="15" customHeight="1" x14ac:dyDescent="0.25">
      <c r="A18" s="31"/>
      <c r="C18" s="25"/>
      <c r="D18" s="19"/>
      <c r="E18" s="107"/>
      <c r="F18" s="26"/>
      <c r="G18" s="26"/>
      <c r="H18" s="26"/>
    </row>
    <row r="19" spans="1:8" ht="16.5" x14ac:dyDescent="0.25">
      <c r="A19" s="31"/>
      <c r="C19" s="25"/>
      <c r="D19" s="19"/>
      <c r="E19" s="107"/>
      <c r="F19" s="26"/>
      <c r="G19" s="26"/>
      <c r="H19" s="26"/>
    </row>
    <row r="20" spans="1:8" ht="15" customHeight="1" x14ac:dyDescent="0.25">
      <c r="A20" s="31"/>
      <c r="C20" s="25"/>
      <c r="D20" s="19"/>
      <c r="E20" s="107"/>
      <c r="F20" s="26"/>
      <c r="G20" s="26"/>
      <c r="H20" s="26"/>
    </row>
    <row r="21" spans="1:8" ht="16.5" x14ac:dyDescent="0.25">
      <c r="A21" s="31"/>
      <c r="C21" s="25"/>
      <c r="D21" s="19"/>
      <c r="E21" s="107"/>
      <c r="F21" s="26"/>
      <c r="G21" s="26"/>
      <c r="H21" s="26"/>
    </row>
    <row r="22" spans="1:8" ht="16.5" x14ac:dyDescent="0.25">
      <c r="A22" s="31"/>
      <c r="C22" s="25"/>
      <c r="D22" s="19"/>
      <c r="E22" s="107"/>
      <c r="F22" s="26"/>
      <c r="G22" s="26"/>
      <c r="H22" s="26"/>
    </row>
    <row r="23" spans="1:8" ht="16.5" x14ac:dyDescent="0.25">
      <c r="A23" s="31"/>
      <c r="C23" s="25"/>
      <c r="D23" s="19"/>
      <c r="E23" s="107"/>
      <c r="F23" s="26"/>
      <c r="G23" s="26"/>
      <c r="H23" s="26"/>
    </row>
    <row r="24" spans="1:8" ht="16.5" x14ac:dyDescent="0.25">
      <c r="A24" s="31"/>
      <c r="C24" s="25"/>
      <c r="D24" s="19"/>
      <c r="E24" s="107"/>
      <c r="F24" s="26"/>
      <c r="G24" s="26"/>
      <c r="H24" s="26"/>
    </row>
    <row r="25" spans="1:8" ht="16.5" x14ac:dyDescent="0.25">
      <c r="A25" s="31"/>
      <c r="C25" s="25"/>
      <c r="D25" s="19"/>
      <c r="E25" s="107"/>
      <c r="F25" s="26"/>
      <c r="G25" s="26"/>
      <c r="H25" s="26"/>
    </row>
    <row r="26" spans="1:8" ht="16.5" x14ac:dyDescent="0.25">
      <c r="A26" s="31"/>
      <c r="C26" s="25"/>
      <c r="D26" s="19"/>
      <c r="E26" s="107"/>
      <c r="F26" s="26"/>
      <c r="G26" s="26"/>
      <c r="H26" s="26"/>
    </row>
    <row r="27" spans="1:8" ht="16.5" x14ac:dyDescent="0.25">
      <c r="A27" s="31"/>
      <c r="C27" s="25"/>
      <c r="D27" s="19"/>
      <c r="E27" s="107"/>
      <c r="F27" s="26"/>
      <c r="G27" s="26"/>
      <c r="H27" s="26"/>
    </row>
    <row r="28" spans="1:8" ht="16.5" x14ac:dyDescent="0.25">
      <c r="A28" s="31"/>
      <c r="C28" s="25"/>
      <c r="D28" s="19"/>
      <c r="E28" s="107"/>
      <c r="F28" s="26"/>
      <c r="G28" s="26"/>
      <c r="H28" s="26"/>
    </row>
    <row r="29" spans="1:8" ht="16.5" x14ac:dyDescent="0.25">
      <c r="A29" s="31"/>
      <c r="C29" s="25"/>
      <c r="D29" s="19"/>
      <c r="E29" s="107"/>
      <c r="F29" s="26"/>
      <c r="G29" s="26"/>
      <c r="H29" s="26"/>
    </row>
    <row r="30" spans="1:8" ht="16.5" x14ac:dyDescent="0.25">
      <c r="A30" s="31"/>
      <c r="C30" s="25"/>
      <c r="D30" s="19"/>
      <c r="E30" s="107"/>
      <c r="F30" s="26"/>
      <c r="G30" s="26"/>
      <c r="H30" s="26"/>
    </row>
    <row r="31" spans="1:8" ht="16.5" x14ac:dyDescent="0.25">
      <c r="A31" s="31"/>
      <c r="C31" s="25"/>
      <c r="D31" s="19"/>
      <c r="E31" s="107"/>
      <c r="F31" s="26"/>
      <c r="G31" s="26"/>
      <c r="H31" s="26"/>
    </row>
    <row r="32" spans="1:8" ht="16.5" x14ac:dyDescent="0.25">
      <c r="A32" s="31"/>
      <c r="C32" s="25"/>
      <c r="D32" s="19"/>
      <c r="E32" s="107"/>
      <c r="F32" s="26"/>
      <c r="G32" s="26"/>
      <c r="H32" s="26"/>
    </row>
    <row r="33" spans="1:8" ht="16.5" x14ac:dyDescent="0.25">
      <c r="A33" s="31"/>
      <c r="C33" s="25"/>
      <c r="D33" s="19"/>
      <c r="E33" s="107"/>
      <c r="F33" s="26"/>
      <c r="G33" s="26"/>
      <c r="H33" s="26"/>
    </row>
    <row r="34" spans="1:8" ht="16.5" x14ac:dyDescent="0.25">
      <c r="A34" s="31"/>
      <c r="C34" s="25"/>
      <c r="D34" s="19"/>
      <c r="E34" s="107"/>
      <c r="F34" s="26"/>
      <c r="G34" s="20"/>
      <c r="H34" s="20"/>
    </row>
    <row r="35" spans="1:8" ht="16.5" x14ac:dyDescent="0.25">
      <c r="A35" s="31"/>
      <c r="C35" s="25"/>
      <c r="D35" s="19"/>
      <c r="E35" s="108"/>
      <c r="F35" s="26"/>
      <c r="G35" s="20"/>
      <c r="H35" s="20"/>
    </row>
    <row r="36" spans="1:8" ht="16.5" x14ac:dyDescent="0.25">
      <c r="A36" s="31"/>
      <c r="C36" s="25"/>
      <c r="D36" s="19"/>
      <c r="E36" s="108"/>
      <c r="F36" s="26"/>
      <c r="G36" s="20"/>
      <c r="H36" s="20"/>
    </row>
    <row r="37" spans="1:8" ht="16.5" x14ac:dyDescent="0.25">
      <c r="A37" s="31"/>
      <c r="C37" s="25"/>
      <c r="D37" s="19"/>
      <c r="E37" s="108"/>
      <c r="F37" s="26"/>
      <c r="G37" s="20"/>
      <c r="H37" s="20"/>
    </row>
    <row r="38" spans="1:8" ht="16.5" x14ac:dyDescent="0.25">
      <c r="A38" s="31"/>
      <c r="C38" s="25"/>
      <c r="D38" s="19"/>
      <c r="E38" s="108"/>
      <c r="F38" s="26"/>
      <c r="G38" s="20"/>
      <c r="H38" s="20"/>
    </row>
    <row r="39" spans="1:8" ht="16.5" x14ac:dyDescent="0.25">
      <c r="A39" s="31"/>
      <c r="C39" s="25"/>
      <c r="D39" s="19"/>
      <c r="E39" s="108"/>
      <c r="F39" s="26"/>
      <c r="G39" s="20"/>
      <c r="H39" s="20"/>
    </row>
    <row r="40" spans="1:8" ht="16.5" x14ac:dyDescent="0.25">
      <c r="A40" s="31"/>
      <c r="C40" s="25"/>
      <c r="D40" s="19"/>
      <c r="E40" s="108"/>
      <c r="F40" s="26"/>
      <c r="G40" s="20"/>
      <c r="H40" s="20"/>
    </row>
    <row r="41" spans="1:8" ht="16.5" x14ac:dyDescent="0.25">
      <c r="A41" s="31"/>
      <c r="C41" s="25"/>
      <c r="D41" s="19"/>
      <c r="E41" s="108"/>
      <c r="F41" s="26"/>
      <c r="G41" s="20"/>
      <c r="H41" s="20"/>
    </row>
    <row r="42" spans="1:8" ht="16.5" x14ac:dyDescent="0.25">
      <c r="A42" s="31"/>
      <c r="C42" s="25"/>
      <c r="D42" s="19"/>
      <c r="E42" s="108"/>
      <c r="F42" s="26"/>
      <c r="G42" s="20"/>
      <c r="H42" s="20"/>
    </row>
    <row r="43" spans="1:8" ht="16.5" x14ac:dyDescent="0.25">
      <c r="A43" s="31"/>
      <c r="C43" s="25"/>
      <c r="D43" s="19"/>
      <c r="E43" s="109"/>
      <c r="F43" s="26"/>
      <c r="G43" s="20"/>
      <c r="H43" s="20"/>
    </row>
    <row r="44" spans="1:8" ht="16.5" x14ac:dyDescent="0.25">
      <c r="A44" s="31"/>
      <c r="C44" s="25"/>
      <c r="D44" s="27"/>
      <c r="E44" s="109"/>
      <c r="F44" s="26"/>
      <c r="G44" s="20"/>
      <c r="H44" s="20"/>
    </row>
    <row r="45" spans="1:8" ht="16.5" x14ac:dyDescent="0.25">
      <c r="A45" s="31"/>
      <c r="C45" s="25"/>
      <c r="D45" s="27"/>
      <c r="E45" s="109"/>
      <c r="F45" s="26"/>
      <c r="G45" s="20"/>
      <c r="H45" s="20"/>
    </row>
    <row r="46" spans="1:8" ht="16.5" x14ac:dyDescent="0.25">
      <c r="A46" s="31"/>
      <c r="C46" s="25"/>
      <c r="D46" s="27"/>
      <c r="E46" s="109"/>
      <c r="F46" s="26"/>
      <c r="G46" s="20"/>
      <c r="H46" s="20"/>
    </row>
    <row r="47" spans="1:8" ht="16.5" x14ac:dyDescent="0.25">
      <c r="A47" s="31"/>
      <c r="C47" s="25"/>
      <c r="D47" s="27"/>
      <c r="E47" s="109"/>
      <c r="F47" s="26"/>
      <c r="G47" s="20"/>
      <c r="H47" s="20"/>
    </row>
    <row r="48" spans="1:8" ht="16.5" x14ac:dyDescent="0.25">
      <c r="A48" s="31"/>
      <c r="C48" s="25"/>
      <c r="D48" s="27"/>
      <c r="E48" s="109"/>
      <c r="F48" s="26"/>
      <c r="G48" s="20"/>
      <c r="H48" s="20"/>
    </row>
    <row r="49" spans="1:8" ht="16.5" x14ac:dyDescent="0.25">
      <c r="A49" s="31"/>
      <c r="C49" s="25"/>
      <c r="D49" s="27"/>
      <c r="E49" s="109"/>
      <c r="F49" s="26"/>
      <c r="G49" s="20"/>
      <c r="H49" s="20"/>
    </row>
    <row r="50" spans="1:8" ht="16.5" x14ac:dyDescent="0.25">
      <c r="A50" s="31"/>
      <c r="C50" s="25"/>
      <c r="D50" s="27"/>
      <c r="E50" s="109"/>
      <c r="F50" s="26"/>
      <c r="G50" s="20"/>
      <c r="H50" s="20"/>
    </row>
    <row r="51" spans="1:8" ht="16.5" x14ac:dyDescent="0.25">
      <c r="A51" s="31"/>
      <c r="C51" s="25"/>
      <c r="D51" s="27"/>
      <c r="E51" s="109"/>
      <c r="F51" s="26"/>
      <c r="G51" s="20"/>
      <c r="H51" s="20"/>
    </row>
    <row r="52" spans="1:8" ht="16.5" x14ac:dyDescent="0.25">
      <c r="A52" s="31"/>
      <c r="C52" s="25"/>
      <c r="D52" s="27"/>
      <c r="E52" s="109"/>
      <c r="F52" s="26"/>
      <c r="G52" s="20"/>
      <c r="H52" s="20"/>
    </row>
    <row r="53" spans="1:8" ht="16.5" x14ac:dyDescent="0.25">
      <c r="A53" s="31"/>
      <c r="C53" s="25"/>
      <c r="D53" s="27"/>
      <c r="E53" s="109"/>
      <c r="F53" s="26"/>
      <c r="G53" s="20"/>
      <c r="H53" s="20"/>
    </row>
    <row r="54" spans="1:8" ht="16.5" x14ac:dyDescent="0.25">
      <c r="A54" s="31"/>
      <c r="C54" s="25"/>
      <c r="D54" s="27"/>
      <c r="E54" s="109"/>
      <c r="F54" s="26"/>
      <c r="G54" s="20"/>
      <c r="H54" s="20"/>
    </row>
    <row r="55" spans="1:8" ht="16.5" x14ac:dyDescent="0.25">
      <c r="A55" s="31"/>
      <c r="C55" s="25"/>
      <c r="D55" s="27"/>
      <c r="E55" s="109"/>
      <c r="F55" s="26"/>
      <c r="G55" s="20"/>
      <c r="H55" s="20"/>
    </row>
    <row r="56" spans="1:8" ht="16.5" x14ac:dyDescent="0.25">
      <c r="A56" s="31"/>
      <c r="C56" s="25"/>
      <c r="D56" s="27"/>
      <c r="E56" s="109"/>
      <c r="F56" s="26"/>
      <c r="G56" s="20"/>
      <c r="H56" s="20"/>
    </row>
    <row r="57" spans="1:8" ht="16.5" x14ac:dyDescent="0.25">
      <c r="A57" s="31"/>
      <c r="C57" s="25"/>
      <c r="D57" s="27"/>
      <c r="E57" s="109"/>
      <c r="F57" s="26"/>
      <c r="G57" s="20"/>
      <c r="H57" s="20"/>
    </row>
    <row r="58" spans="1:8" ht="16.5" x14ac:dyDescent="0.25">
      <c r="A58" s="31"/>
      <c r="C58" s="25"/>
      <c r="D58" s="27"/>
      <c r="E58" s="109"/>
      <c r="F58" s="26"/>
      <c r="G58" s="20"/>
      <c r="H58" s="20"/>
    </row>
    <row r="59" spans="1:8" ht="16.5" x14ac:dyDescent="0.25">
      <c r="A59" s="31"/>
      <c r="C59" s="25"/>
      <c r="D59" s="27"/>
      <c r="E59" s="109"/>
      <c r="F59" s="26"/>
      <c r="G59" s="20"/>
      <c r="H59" s="20"/>
    </row>
    <row r="60" spans="1:8" ht="16.5" x14ac:dyDescent="0.25">
      <c r="A60" s="31"/>
      <c r="C60" s="25"/>
      <c r="D60" s="27"/>
      <c r="E60" s="109"/>
      <c r="F60" s="26"/>
      <c r="G60" s="20"/>
      <c r="H60" s="20"/>
    </row>
    <row r="61" spans="1:8" ht="16.5" x14ac:dyDescent="0.25">
      <c r="C61" s="47"/>
      <c r="D61" s="48"/>
      <c r="E61" s="109"/>
      <c r="F61" s="49"/>
      <c r="G61" s="21"/>
      <c r="H61" s="21"/>
    </row>
    <row r="62" spans="1:8" ht="16.5" x14ac:dyDescent="0.25">
      <c r="C62" s="47"/>
      <c r="D62" s="48"/>
      <c r="E62" s="109"/>
      <c r="F62" s="49"/>
      <c r="G62" s="21"/>
      <c r="H62" s="21"/>
    </row>
    <row r="63" spans="1:8" ht="16.5" x14ac:dyDescent="0.25">
      <c r="C63" s="47"/>
      <c r="D63" s="48"/>
      <c r="E63" s="109"/>
      <c r="F63" s="49"/>
      <c r="G63" s="21"/>
      <c r="H63" s="21"/>
    </row>
    <row r="64" spans="1:8" ht="16.5" x14ac:dyDescent="0.25">
      <c r="C64" s="47"/>
      <c r="D64" s="48"/>
      <c r="E64" s="109"/>
      <c r="F64" s="49"/>
      <c r="G64" s="21"/>
      <c r="H64" s="21"/>
    </row>
    <row r="65" spans="3:8" ht="16.5" x14ac:dyDescent="0.25">
      <c r="C65" s="47"/>
      <c r="D65" s="48"/>
      <c r="E65" s="109"/>
      <c r="F65" s="49"/>
      <c r="G65" s="21"/>
      <c r="H65" s="21"/>
    </row>
    <row r="66" spans="3:8" ht="16.5" x14ac:dyDescent="0.25">
      <c r="C66" s="47"/>
      <c r="D66" s="48"/>
      <c r="E66" s="109"/>
      <c r="F66" s="49"/>
      <c r="G66" s="21"/>
      <c r="H66" s="21"/>
    </row>
    <row r="67" spans="3:8" ht="16.5" x14ac:dyDescent="0.25">
      <c r="C67" s="47"/>
      <c r="D67" s="48"/>
      <c r="E67" s="109"/>
      <c r="F67" s="49"/>
      <c r="G67" s="21"/>
      <c r="H67" s="21"/>
    </row>
    <row r="68" spans="3:8" ht="16.5" x14ac:dyDescent="0.25">
      <c r="C68" s="47"/>
      <c r="D68" s="48"/>
      <c r="E68" s="109"/>
      <c r="F68" s="49"/>
      <c r="G68" s="21"/>
      <c r="H68" s="21"/>
    </row>
    <row r="69" spans="3:8" ht="16.5" x14ac:dyDescent="0.25">
      <c r="C69" s="47"/>
      <c r="D69" s="48"/>
      <c r="E69" s="107"/>
      <c r="F69" s="49"/>
      <c r="G69" s="21"/>
      <c r="H69" s="21"/>
    </row>
    <row r="70" spans="3:8" ht="16.5" x14ac:dyDescent="0.25">
      <c r="C70" s="47"/>
      <c r="D70" s="48"/>
      <c r="E70" s="107"/>
      <c r="F70" s="49"/>
      <c r="G70" s="21"/>
      <c r="H70" s="21"/>
    </row>
    <row r="71" spans="3:8" ht="16.5" x14ac:dyDescent="0.25">
      <c r="C71" s="47"/>
      <c r="D71" s="48"/>
      <c r="E71" s="107"/>
      <c r="F71" s="49"/>
      <c r="G71" s="21"/>
      <c r="H71" s="21"/>
    </row>
    <row r="72" spans="3:8" ht="16.5" x14ac:dyDescent="0.25">
      <c r="C72" s="47"/>
      <c r="D72" s="48"/>
      <c r="E72" s="107"/>
      <c r="F72" s="49"/>
      <c r="G72" s="21"/>
      <c r="H72" s="21"/>
    </row>
    <row r="73" spans="3:8" ht="16.5" x14ac:dyDescent="0.25">
      <c r="C73" s="47"/>
      <c r="D73" s="48"/>
      <c r="E73" s="107"/>
      <c r="F73" s="49"/>
      <c r="G73" s="21"/>
      <c r="H73" s="21"/>
    </row>
    <row r="74" spans="3:8" ht="16.5" x14ac:dyDescent="0.25">
      <c r="C74" s="47"/>
      <c r="D74" s="48"/>
      <c r="E74" s="107"/>
      <c r="F74" s="49"/>
      <c r="G74" s="21"/>
      <c r="H74" s="21"/>
    </row>
    <row r="75" spans="3:8" ht="16.5" x14ac:dyDescent="0.25">
      <c r="C75" s="47"/>
      <c r="D75" s="48"/>
      <c r="E75" s="107"/>
      <c r="F75" s="49"/>
      <c r="G75" s="21"/>
      <c r="H75" s="21"/>
    </row>
    <row r="76" spans="3:8" ht="16.5" x14ac:dyDescent="0.25">
      <c r="C76" s="47"/>
      <c r="D76" s="48"/>
      <c r="E76" s="107"/>
      <c r="F76" s="49"/>
      <c r="G76" s="21"/>
      <c r="H76" s="21"/>
    </row>
    <row r="77" spans="3:8" ht="16.5" x14ac:dyDescent="0.25">
      <c r="C77" s="47"/>
      <c r="D77" s="48"/>
      <c r="E77" s="107"/>
      <c r="F77" s="49"/>
      <c r="G77" s="21"/>
      <c r="H77" s="21"/>
    </row>
    <row r="78" spans="3:8" ht="16.5" x14ac:dyDescent="0.25">
      <c r="C78" s="47"/>
      <c r="D78" s="48"/>
      <c r="E78" s="107"/>
      <c r="F78" s="49"/>
      <c r="G78" s="21"/>
      <c r="H78" s="21"/>
    </row>
    <row r="79" spans="3:8" ht="16.5" x14ac:dyDescent="0.25">
      <c r="C79" s="47"/>
      <c r="D79" s="48"/>
      <c r="E79" s="107"/>
      <c r="F79" s="49"/>
      <c r="G79" s="21"/>
      <c r="H79" s="21"/>
    </row>
    <row r="80" spans="3:8" ht="16.5" x14ac:dyDescent="0.25">
      <c r="C80" s="47"/>
      <c r="D80" s="48"/>
      <c r="E80" s="107"/>
      <c r="F80" s="49"/>
      <c r="G80" s="21"/>
      <c r="H80" s="21"/>
    </row>
    <row r="81" spans="3:8" ht="16.5" x14ac:dyDescent="0.25">
      <c r="C81" s="47"/>
      <c r="D81" s="48"/>
      <c r="E81" s="107"/>
      <c r="F81" s="49"/>
      <c r="G81" s="21"/>
      <c r="H81" s="21"/>
    </row>
    <row r="82" spans="3:8" ht="16.5" x14ac:dyDescent="0.25">
      <c r="C82" s="47"/>
      <c r="D82" s="48"/>
      <c r="E82" s="107"/>
      <c r="F82" s="49"/>
      <c r="G82" s="21"/>
      <c r="H82" s="21"/>
    </row>
    <row r="83" spans="3:8" ht="16.5" x14ac:dyDescent="0.25">
      <c r="C83" s="47"/>
      <c r="D83" s="48"/>
      <c r="E83" s="107"/>
      <c r="F83" s="49"/>
      <c r="G83" s="21"/>
      <c r="H83" s="21"/>
    </row>
    <row r="84" spans="3:8" ht="16.5" x14ac:dyDescent="0.25">
      <c r="C84" s="47"/>
      <c r="D84" s="48"/>
      <c r="E84" s="107"/>
      <c r="F84" s="49"/>
      <c r="G84" s="21"/>
      <c r="H84" s="21"/>
    </row>
    <row r="85" spans="3:8" ht="16.5" x14ac:dyDescent="0.25">
      <c r="C85" s="47"/>
      <c r="D85" s="48"/>
      <c r="E85" s="107"/>
      <c r="F85" s="49"/>
      <c r="G85" s="21"/>
      <c r="H85" s="21"/>
    </row>
    <row r="86" spans="3:8" ht="16.5" x14ac:dyDescent="0.25">
      <c r="C86" s="47"/>
      <c r="D86" s="48"/>
      <c r="E86" s="107"/>
      <c r="F86" s="49"/>
      <c r="G86" s="21"/>
      <c r="H86" s="21"/>
    </row>
    <row r="87" spans="3:8" ht="16.5" x14ac:dyDescent="0.25">
      <c r="C87" s="47"/>
      <c r="D87" s="48"/>
      <c r="E87" s="107"/>
      <c r="F87" s="49"/>
      <c r="G87" s="21"/>
      <c r="H87" s="21"/>
    </row>
    <row r="88" spans="3:8" ht="16.5" x14ac:dyDescent="0.25">
      <c r="C88" s="47"/>
      <c r="D88" s="48"/>
      <c r="E88" s="107"/>
      <c r="F88" s="49"/>
      <c r="G88" s="21"/>
      <c r="H88" s="21"/>
    </row>
    <row r="89" spans="3:8" ht="16.5" x14ac:dyDescent="0.25">
      <c r="C89" s="47"/>
      <c r="D89" s="48"/>
      <c r="E89" s="107"/>
      <c r="F89" s="49"/>
      <c r="G89" s="21"/>
      <c r="H89" s="21"/>
    </row>
    <row r="90" spans="3:8" ht="16.5" x14ac:dyDescent="0.25">
      <c r="C90" s="47"/>
      <c r="D90" s="48"/>
      <c r="E90" s="107"/>
      <c r="F90" s="49"/>
      <c r="G90" s="21"/>
      <c r="H90" s="21"/>
    </row>
    <row r="91" spans="3:8" ht="16.5" x14ac:dyDescent="0.25">
      <c r="C91" s="47"/>
      <c r="D91" s="48"/>
      <c r="E91" s="107"/>
      <c r="F91" s="49"/>
      <c r="G91" s="21"/>
      <c r="H91" s="21"/>
    </row>
    <row r="92" spans="3:8" ht="16.5" x14ac:dyDescent="0.25">
      <c r="C92" s="47"/>
      <c r="D92" s="48"/>
      <c r="E92" s="107"/>
      <c r="F92" s="49"/>
      <c r="G92" s="21"/>
      <c r="H92" s="21"/>
    </row>
    <row r="93" spans="3:8" ht="16.5" x14ac:dyDescent="0.25">
      <c r="C93" s="47"/>
      <c r="D93" s="48"/>
      <c r="E93" s="107"/>
      <c r="F93" s="49"/>
      <c r="G93" s="21"/>
      <c r="H93" s="21"/>
    </row>
    <row r="94" spans="3:8" ht="16.5" x14ac:dyDescent="0.25">
      <c r="C94" s="47"/>
      <c r="D94" s="48"/>
      <c r="E94" s="107"/>
      <c r="F94" s="49"/>
      <c r="G94" s="21"/>
      <c r="H94" s="21"/>
    </row>
    <row r="95" spans="3:8" ht="16.5" x14ac:dyDescent="0.25">
      <c r="C95" s="47"/>
      <c r="D95" s="48"/>
      <c r="E95" s="107"/>
      <c r="F95" s="49"/>
      <c r="G95" s="21"/>
      <c r="H95" s="21"/>
    </row>
    <row r="96" spans="3:8" ht="16.5" x14ac:dyDescent="0.25">
      <c r="C96" s="47"/>
      <c r="D96" s="48"/>
      <c r="E96" s="107"/>
      <c r="F96" s="49"/>
      <c r="G96" s="21"/>
      <c r="H96" s="21"/>
    </row>
    <row r="97" spans="3:8" ht="16.5" x14ac:dyDescent="0.25">
      <c r="C97" s="47"/>
      <c r="D97" s="48"/>
      <c r="E97" s="107"/>
      <c r="F97" s="49"/>
      <c r="G97" s="21"/>
      <c r="H97" s="21"/>
    </row>
    <row r="98" spans="3:8" ht="16.5" x14ac:dyDescent="0.25">
      <c r="C98" s="47"/>
      <c r="D98" s="48"/>
      <c r="E98" s="107"/>
      <c r="F98" s="49"/>
      <c r="G98" s="21"/>
      <c r="H98" s="21"/>
    </row>
    <row r="99" spans="3:8" ht="16.5" x14ac:dyDescent="0.25">
      <c r="C99" s="47"/>
      <c r="D99" s="48"/>
      <c r="E99" s="107"/>
      <c r="F99" s="49"/>
      <c r="G99" s="21"/>
      <c r="H99" s="21"/>
    </row>
    <row r="100" spans="3:8" ht="16.5" x14ac:dyDescent="0.25">
      <c r="C100" s="47"/>
      <c r="D100" s="48"/>
      <c r="E100" s="107"/>
      <c r="F100" s="49"/>
      <c r="G100" s="21"/>
      <c r="H100" s="21"/>
    </row>
    <row r="101" spans="3:8" ht="16.5" x14ac:dyDescent="0.25">
      <c r="C101" s="47"/>
      <c r="D101" s="48"/>
      <c r="E101" s="107"/>
      <c r="F101" s="49"/>
      <c r="G101" s="21"/>
      <c r="H101" s="21"/>
    </row>
    <row r="102" spans="3:8" ht="16.5" x14ac:dyDescent="0.25">
      <c r="C102" s="47"/>
      <c r="D102" s="48"/>
      <c r="E102" s="107"/>
      <c r="F102" s="49"/>
      <c r="G102" s="21"/>
      <c r="H102" s="21"/>
    </row>
    <row r="103" spans="3:8" ht="16.5" x14ac:dyDescent="0.25">
      <c r="C103" s="47"/>
      <c r="D103" s="48"/>
      <c r="E103" s="107"/>
      <c r="F103" s="49"/>
      <c r="G103" s="21"/>
      <c r="H103" s="21"/>
    </row>
    <row r="104" spans="3:8" ht="16.5" x14ac:dyDescent="0.25">
      <c r="C104" s="47"/>
      <c r="D104" s="48"/>
      <c r="E104" s="107"/>
      <c r="F104" s="49"/>
      <c r="G104" s="21"/>
      <c r="H104" s="21"/>
    </row>
    <row r="105" spans="3:8" ht="16.5" x14ac:dyDescent="0.25">
      <c r="C105" s="47"/>
      <c r="D105" s="48"/>
      <c r="E105" s="107"/>
      <c r="F105" s="49"/>
      <c r="G105" s="21"/>
      <c r="H105" s="21"/>
    </row>
    <row r="106" spans="3:8" ht="16.5" x14ac:dyDescent="0.25">
      <c r="C106" s="47"/>
      <c r="D106" s="48"/>
      <c r="E106" s="107"/>
      <c r="F106" s="49"/>
      <c r="G106" s="21"/>
      <c r="H106" s="21"/>
    </row>
    <row r="107" spans="3:8" ht="16.5" x14ac:dyDescent="0.25">
      <c r="C107" s="47"/>
      <c r="D107" s="48"/>
      <c r="E107" s="107"/>
      <c r="F107" s="49"/>
      <c r="G107" s="21"/>
      <c r="H107" s="21"/>
    </row>
    <row r="108" spans="3:8" ht="16.5" x14ac:dyDescent="0.25">
      <c r="C108" s="47"/>
      <c r="D108" s="48"/>
      <c r="E108" s="107"/>
      <c r="F108" s="49"/>
      <c r="G108" s="21"/>
      <c r="H108" s="21"/>
    </row>
    <row r="109" spans="3:8" ht="16.5" x14ac:dyDescent="0.25">
      <c r="C109" s="47"/>
      <c r="D109" s="48"/>
      <c r="E109" s="107"/>
      <c r="F109" s="49"/>
      <c r="G109" s="21"/>
      <c r="H109" s="21"/>
    </row>
    <row r="110" spans="3:8" ht="16.5" x14ac:dyDescent="0.25">
      <c r="C110" s="47"/>
      <c r="D110" s="48"/>
      <c r="E110" s="107"/>
      <c r="F110" s="49"/>
      <c r="G110" s="21"/>
      <c r="H110" s="21"/>
    </row>
    <row r="111" spans="3:8" ht="16.5" x14ac:dyDescent="0.25">
      <c r="C111" s="47"/>
      <c r="D111" s="48"/>
      <c r="E111" s="107"/>
      <c r="F111" s="49"/>
      <c r="G111" s="21"/>
      <c r="H111" s="21"/>
    </row>
    <row r="112" spans="3:8" ht="16.5" x14ac:dyDescent="0.25">
      <c r="C112" s="47"/>
      <c r="D112" s="48"/>
      <c r="E112" s="107"/>
      <c r="F112" s="49"/>
      <c r="G112" s="21"/>
      <c r="H112" s="21"/>
    </row>
    <row r="113" spans="3:8" ht="16.5" x14ac:dyDescent="0.25">
      <c r="C113" s="47"/>
      <c r="D113" s="48"/>
      <c r="E113" s="107"/>
      <c r="F113" s="49"/>
      <c r="G113" s="21"/>
      <c r="H113" s="21"/>
    </row>
    <row r="114" spans="3:8" ht="16.5" x14ac:dyDescent="0.25">
      <c r="C114" s="47"/>
      <c r="D114" s="48"/>
      <c r="E114" s="107"/>
      <c r="F114" s="49"/>
      <c r="G114" s="21"/>
      <c r="H114" s="21"/>
    </row>
    <row r="115" spans="3:8" ht="16.5" x14ac:dyDescent="0.25">
      <c r="C115" s="47"/>
      <c r="D115" s="48"/>
      <c r="E115" s="107"/>
      <c r="F115" s="49"/>
      <c r="G115" s="21"/>
      <c r="H115" s="21"/>
    </row>
    <row r="116" spans="3:8" ht="16.5" x14ac:dyDescent="0.25">
      <c r="C116" s="47"/>
      <c r="D116" s="48"/>
      <c r="E116" s="107"/>
      <c r="F116" s="49"/>
      <c r="G116" s="21"/>
      <c r="H116" s="21"/>
    </row>
    <row r="117" spans="3:8" ht="16.5" x14ac:dyDescent="0.25">
      <c r="C117" s="47"/>
      <c r="D117" s="48"/>
      <c r="E117" s="107"/>
      <c r="F117" s="49"/>
      <c r="G117" s="21"/>
      <c r="H117" s="21"/>
    </row>
    <row r="118" spans="3:8" ht="16.5" x14ac:dyDescent="0.25">
      <c r="C118" s="47"/>
      <c r="D118" s="48"/>
      <c r="E118" s="107"/>
      <c r="F118" s="49"/>
      <c r="G118" s="21"/>
      <c r="H118" s="21"/>
    </row>
    <row r="119" spans="3:8" ht="16.5" x14ac:dyDescent="0.25">
      <c r="C119" s="47"/>
      <c r="D119" s="48"/>
      <c r="E119" s="107"/>
      <c r="F119" s="49"/>
      <c r="G119" s="21"/>
      <c r="H119" s="21"/>
    </row>
    <row r="120" spans="3:8" ht="16.5" x14ac:dyDescent="0.25">
      <c r="C120" s="47"/>
      <c r="D120" s="48"/>
      <c r="E120" s="107"/>
      <c r="F120" s="49"/>
      <c r="G120" s="21"/>
      <c r="H120" s="21"/>
    </row>
    <row r="121" spans="3:8" ht="16.5" x14ac:dyDescent="0.25">
      <c r="C121" s="47"/>
      <c r="D121" s="48"/>
      <c r="E121" s="107"/>
      <c r="F121" s="49"/>
      <c r="G121" s="21"/>
      <c r="H121" s="21"/>
    </row>
    <row r="122" spans="3:8" ht="16.5" x14ac:dyDescent="0.25">
      <c r="C122" s="47"/>
      <c r="D122" s="48"/>
      <c r="E122" s="107"/>
      <c r="F122" s="49"/>
      <c r="G122" s="21"/>
      <c r="H122" s="21"/>
    </row>
    <row r="123" spans="3:8" ht="16.5" x14ac:dyDescent="0.25">
      <c r="C123" s="47"/>
      <c r="D123" s="48"/>
      <c r="E123" s="107"/>
      <c r="F123" s="49"/>
      <c r="G123" s="21"/>
      <c r="H123" s="21"/>
    </row>
    <row r="124" spans="3:8" ht="16.5" x14ac:dyDescent="0.25">
      <c r="C124" s="47"/>
      <c r="D124" s="48"/>
      <c r="E124" s="107"/>
      <c r="F124" s="49"/>
      <c r="G124" s="21"/>
      <c r="H124" s="21"/>
    </row>
    <row r="125" spans="3:8" ht="16.5" x14ac:dyDescent="0.25">
      <c r="C125" s="47"/>
      <c r="D125" s="48"/>
      <c r="E125" s="107"/>
      <c r="F125" s="49"/>
      <c r="G125" s="21"/>
      <c r="H125" s="21"/>
    </row>
    <row r="126" spans="3:8" ht="16.5" x14ac:dyDescent="0.25">
      <c r="C126" s="47"/>
      <c r="D126" s="48"/>
      <c r="E126" s="107"/>
      <c r="F126" s="49"/>
      <c r="G126" s="21"/>
      <c r="H126" s="21"/>
    </row>
    <row r="127" spans="3:8" ht="16.5" x14ac:dyDescent="0.25">
      <c r="C127" s="47"/>
      <c r="D127" s="48"/>
      <c r="E127" s="107"/>
      <c r="F127" s="49"/>
      <c r="G127" s="21"/>
      <c r="H127" s="21"/>
    </row>
    <row r="128" spans="3:8" ht="16.5" x14ac:dyDescent="0.25">
      <c r="C128" s="47"/>
      <c r="D128" s="48"/>
      <c r="E128" s="107"/>
      <c r="F128" s="49"/>
      <c r="G128" s="21"/>
      <c r="H128" s="21"/>
    </row>
    <row r="129" spans="3:8" ht="16.5" x14ac:dyDescent="0.25">
      <c r="C129" s="47"/>
      <c r="D129" s="48"/>
      <c r="E129" s="107"/>
      <c r="F129" s="49"/>
      <c r="G129" s="21"/>
      <c r="H129" s="21"/>
    </row>
    <row r="130" spans="3:8" ht="16.5" x14ac:dyDescent="0.25">
      <c r="C130" s="47"/>
      <c r="D130" s="48"/>
      <c r="E130" s="107"/>
      <c r="F130" s="49"/>
      <c r="G130" s="21"/>
      <c r="H130" s="21"/>
    </row>
    <row r="131" spans="3:8" ht="16.5" x14ac:dyDescent="0.25">
      <c r="C131" s="47"/>
      <c r="D131" s="48"/>
      <c r="E131" s="107"/>
      <c r="F131" s="49"/>
      <c r="G131" s="21"/>
      <c r="H131" s="21"/>
    </row>
    <row r="132" spans="3:8" ht="16.5" x14ac:dyDescent="0.25">
      <c r="C132" s="47"/>
      <c r="D132" s="48"/>
      <c r="E132" s="107"/>
      <c r="F132" s="49"/>
      <c r="G132" s="21"/>
      <c r="H132" s="21"/>
    </row>
    <row r="133" spans="3:8" ht="16.5" x14ac:dyDescent="0.25">
      <c r="C133" s="47"/>
      <c r="D133" s="48"/>
      <c r="E133" s="107"/>
      <c r="F133" s="49"/>
      <c r="G133" s="21"/>
      <c r="H133" s="21"/>
    </row>
    <row r="134" spans="3:8" ht="16.5" x14ac:dyDescent="0.25">
      <c r="C134" s="47"/>
      <c r="D134" s="48"/>
      <c r="E134" s="107"/>
      <c r="F134" s="49"/>
      <c r="G134" s="21"/>
      <c r="H134" s="21"/>
    </row>
    <row r="135" spans="3:8" ht="16.5" x14ac:dyDescent="0.25">
      <c r="C135" s="47"/>
      <c r="D135" s="48"/>
      <c r="E135" s="107"/>
      <c r="F135" s="49"/>
      <c r="G135" s="21"/>
      <c r="H135" s="21"/>
    </row>
    <row r="136" spans="3:8" ht="16.5" x14ac:dyDescent="0.25">
      <c r="C136" s="47"/>
      <c r="D136" s="48"/>
      <c r="E136" s="107"/>
      <c r="F136" s="49"/>
      <c r="G136" s="21"/>
      <c r="H136" s="21"/>
    </row>
    <row r="137" spans="3:8" ht="16.5" x14ac:dyDescent="0.25">
      <c r="C137" s="47"/>
      <c r="D137" s="48"/>
      <c r="E137" s="107"/>
      <c r="F137" s="49"/>
      <c r="G137" s="21"/>
      <c r="H137" s="21"/>
    </row>
    <row r="138" spans="3:8" ht="16.5" x14ac:dyDescent="0.25">
      <c r="C138" s="47"/>
      <c r="D138" s="48"/>
      <c r="E138" s="107"/>
      <c r="F138" s="49"/>
      <c r="G138" s="21"/>
      <c r="H138" s="21"/>
    </row>
    <row r="139" spans="3:8" ht="16.5" x14ac:dyDescent="0.25">
      <c r="C139" s="47"/>
      <c r="D139" s="48"/>
      <c r="E139" s="107"/>
      <c r="F139" s="49"/>
      <c r="G139" s="21"/>
      <c r="H139" s="21"/>
    </row>
    <row r="140" spans="3:8" ht="16.5" x14ac:dyDescent="0.25">
      <c r="C140" s="47"/>
      <c r="D140" s="48"/>
      <c r="E140" s="107"/>
      <c r="F140" s="49"/>
      <c r="G140" s="21"/>
      <c r="H140" s="21"/>
    </row>
    <row r="141" spans="3:8" ht="16.5" x14ac:dyDescent="0.25">
      <c r="C141" s="47"/>
      <c r="D141" s="48"/>
      <c r="E141" s="107"/>
      <c r="F141" s="49"/>
      <c r="G141" s="21"/>
      <c r="H141" s="21"/>
    </row>
    <row r="142" spans="3:8" ht="16.5" x14ac:dyDescent="0.25">
      <c r="C142" s="47"/>
      <c r="D142" s="48"/>
      <c r="E142" s="107"/>
      <c r="F142" s="49"/>
      <c r="G142" s="21"/>
      <c r="H142" s="21"/>
    </row>
    <row r="143" spans="3:8" ht="16.5" x14ac:dyDescent="0.25">
      <c r="C143" s="47"/>
      <c r="D143" s="48"/>
      <c r="E143" s="107"/>
      <c r="F143" s="49"/>
      <c r="G143" s="21"/>
      <c r="H143" s="21"/>
    </row>
    <row r="144" spans="3:8" ht="16.5" x14ac:dyDescent="0.25">
      <c r="C144" s="47"/>
      <c r="D144" s="48"/>
      <c r="E144" s="107"/>
      <c r="F144" s="49"/>
      <c r="G144" s="21"/>
      <c r="H144" s="21"/>
    </row>
    <row r="145" spans="3:8" ht="16.5" x14ac:dyDescent="0.25">
      <c r="C145" s="47"/>
      <c r="D145" s="48"/>
      <c r="E145" s="107"/>
      <c r="F145" s="49"/>
      <c r="G145" s="21"/>
      <c r="H145" s="21"/>
    </row>
    <row r="146" spans="3:8" ht="16.5" x14ac:dyDescent="0.25">
      <c r="C146" s="47"/>
      <c r="D146" s="48"/>
      <c r="E146" s="107"/>
      <c r="F146" s="49"/>
      <c r="G146" s="21"/>
      <c r="H146" s="21"/>
    </row>
    <row r="147" spans="3:8" ht="16.5" x14ac:dyDescent="0.25">
      <c r="C147" s="47"/>
      <c r="D147" s="48"/>
      <c r="E147" s="107"/>
      <c r="F147" s="49"/>
      <c r="G147" s="21"/>
      <c r="H147" s="21"/>
    </row>
    <row r="148" spans="3:8" ht="16.5" x14ac:dyDescent="0.25">
      <c r="C148" s="47"/>
      <c r="D148" s="48"/>
      <c r="E148" s="107"/>
      <c r="F148" s="49"/>
      <c r="G148" s="21"/>
      <c r="H148" s="21"/>
    </row>
    <row r="149" spans="3:8" ht="16.5" x14ac:dyDescent="0.25">
      <c r="C149" s="47"/>
      <c r="D149" s="48"/>
      <c r="E149" s="107"/>
      <c r="F149" s="49"/>
      <c r="G149" s="21"/>
      <c r="H149" s="21"/>
    </row>
    <row r="150" spans="3:8" ht="16.5" x14ac:dyDescent="0.25">
      <c r="C150" s="47"/>
      <c r="D150" s="48"/>
      <c r="E150" s="107"/>
      <c r="F150" s="49"/>
      <c r="G150" s="21"/>
      <c r="H150" s="21"/>
    </row>
    <row r="151" spans="3:8" ht="16.5" x14ac:dyDescent="0.25">
      <c r="C151" s="47"/>
      <c r="D151" s="48"/>
      <c r="E151" s="107"/>
      <c r="F151" s="49"/>
      <c r="G151" s="21"/>
      <c r="H151" s="21"/>
    </row>
    <row r="152" spans="3:8" ht="16.5" x14ac:dyDescent="0.25">
      <c r="C152" s="47"/>
      <c r="D152" s="48"/>
      <c r="E152" s="107"/>
      <c r="F152" s="49"/>
      <c r="G152" s="21"/>
      <c r="H152" s="21"/>
    </row>
    <row r="153" spans="3:8" ht="16.5" x14ac:dyDescent="0.25">
      <c r="C153" s="47"/>
      <c r="D153" s="48"/>
      <c r="E153" s="107"/>
      <c r="F153" s="49"/>
      <c r="G153" s="21"/>
      <c r="H153" s="21"/>
    </row>
    <row r="154" spans="3:8" ht="16.5" x14ac:dyDescent="0.25">
      <c r="C154" s="47"/>
      <c r="D154" s="48"/>
      <c r="E154" s="107"/>
      <c r="F154" s="49"/>
      <c r="G154" s="21"/>
      <c r="H154" s="21"/>
    </row>
    <row r="155" spans="3:8" ht="16.5" x14ac:dyDescent="0.25">
      <c r="C155" s="47"/>
      <c r="D155" s="48"/>
      <c r="E155" s="107"/>
      <c r="F155" s="49"/>
      <c r="G155" s="21"/>
      <c r="H155" s="21"/>
    </row>
    <row r="156" spans="3:8" ht="16.5" x14ac:dyDescent="0.25">
      <c r="C156" s="47"/>
      <c r="D156" s="48"/>
      <c r="E156" s="107"/>
      <c r="F156" s="49"/>
      <c r="G156" s="21"/>
      <c r="H156" s="21"/>
    </row>
    <row r="157" spans="3:8" ht="16.5" x14ac:dyDescent="0.25">
      <c r="C157" s="47"/>
      <c r="D157" s="48"/>
      <c r="E157" s="107"/>
      <c r="F157" s="49"/>
      <c r="G157" s="21"/>
      <c r="H157" s="21"/>
    </row>
    <row r="158" spans="3:8" ht="16.5" x14ac:dyDescent="0.25">
      <c r="C158" s="47"/>
      <c r="D158" s="48"/>
      <c r="E158" s="107"/>
      <c r="F158" s="49"/>
      <c r="G158" s="21"/>
      <c r="H158" s="21"/>
    </row>
    <row r="159" spans="3:8" ht="16.5" x14ac:dyDescent="0.25">
      <c r="C159" s="47"/>
      <c r="D159" s="48"/>
      <c r="E159" s="107"/>
      <c r="F159" s="49"/>
      <c r="G159" s="21"/>
      <c r="H159" s="21"/>
    </row>
    <row r="160" spans="3:8" ht="16.5" x14ac:dyDescent="0.25">
      <c r="C160" s="47"/>
      <c r="D160" s="48"/>
      <c r="E160" s="107"/>
      <c r="F160" s="49"/>
      <c r="G160" s="21"/>
      <c r="H160" s="21"/>
    </row>
    <row r="161" spans="3:8" ht="16.5" x14ac:dyDescent="0.25">
      <c r="C161" s="47"/>
      <c r="D161" s="48"/>
      <c r="E161" s="107"/>
      <c r="F161" s="49"/>
      <c r="G161" s="21"/>
      <c r="H161" s="21"/>
    </row>
    <row r="162" spans="3:8" ht="16.5" x14ac:dyDescent="0.25">
      <c r="C162" s="47"/>
      <c r="D162" s="48"/>
      <c r="E162" s="107"/>
      <c r="F162" s="49"/>
      <c r="G162" s="21"/>
      <c r="H162" s="21"/>
    </row>
    <row r="163" spans="3:8" ht="16.5" x14ac:dyDescent="0.25">
      <c r="C163" s="47"/>
      <c r="D163" s="48"/>
      <c r="E163" s="107"/>
      <c r="F163" s="49"/>
      <c r="G163" s="21"/>
      <c r="H163" s="21"/>
    </row>
    <row r="164" spans="3:8" ht="16.5" x14ac:dyDescent="0.25">
      <c r="C164" s="47"/>
      <c r="D164" s="48"/>
      <c r="E164" s="107"/>
      <c r="F164" s="49"/>
      <c r="G164" s="21"/>
      <c r="H164" s="21"/>
    </row>
    <row r="165" spans="3:8" ht="16.5" x14ac:dyDescent="0.25">
      <c r="C165" s="47"/>
      <c r="D165" s="48"/>
      <c r="E165" s="107"/>
      <c r="F165" s="49"/>
      <c r="G165" s="21"/>
      <c r="H165" s="21"/>
    </row>
    <row r="166" spans="3:8" ht="16.5" x14ac:dyDescent="0.25">
      <c r="C166" s="47"/>
      <c r="D166" s="48"/>
      <c r="E166" s="107"/>
      <c r="F166" s="49"/>
      <c r="G166" s="21"/>
      <c r="H166" s="21"/>
    </row>
    <row r="167" spans="3:8" ht="16.5" x14ac:dyDescent="0.25">
      <c r="C167" s="47"/>
      <c r="D167" s="48"/>
      <c r="E167" s="107"/>
      <c r="F167" s="49"/>
      <c r="G167" s="21"/>
      <c r="H167" s="21"/>
    </row>
    <row r="168" spans="3:8" ht="16.5" x14ac:dyDescent="0.25">
      <c r="C168" s="47"/>
      <c r="D168" s="48"/>
      <c r="E168" s="107"/>
      <c r="F168" s="49"/>
      <c r="G168" s="21"/>
      <c r="H168" s="21"/>
    </row>
    <row r="169" spans="3:8" ht="16.5" x14ac:dyDescent="0.25">
      <c r="C169" s="47"/>
      <c r="D169" s="48"/>
      <c r="E169" s="107"/>
      <c r="F169" s="49"/>
      <c r="G169" s="21"/>
      <c r="H169" s="21"/>
    </row>
    <row r="170" spans="3:8" ht="16.5" x14ac:dyDescent="0.25">
      <c r="C170" s="47"/>
      <c r="D170" s="48"/>
      <c r="E170" s="107"/>
      <c r="F170" s="49"/>
      <c r="G170" s="21"/>
      <c r="H170" s="21"/>
    </row>
    <row r="171" spans="3:8" ht="16.5" x14ac:dyDescent="0.25">
      <c r="C171" s="47"/>
      <c r="D171" s="48"/>
      <c r="E171" s="107"/>
      <c r="F171" s="49"/>
      <c r="G171" s="21"/>
      <c r="H171" s="21"/>
    </row>
    <row r="172" spans="3:8" ht="16.5" x14ac:dyDescent="0.25">
      <c r="C172" s="47"/>
      <c r="D172" s="48"/>
      <c r="E172" s="107"/>
      <c r="F172" s="49"/>
      <c r="G172" s="21"/>
      <c r="H172" s="21"/>
    </row>
    <row r="173" spans="3:8" ht="16.5" x14ac:dyDescent="0.25">
      <c r="C173" s="47"/>
      <c r="D173" s="48"/>
      <c r="E173" s="107"/>
      <c r="F173" s="49"/>
      <c r="G173" s="21"/>
      <c r="H173" s="21"/>
    </row>
    <row r="174" spans="3:8" ht="16.5" x14ac:dyDescent="0.25">
      <c r="C174" s="47"/>
      <c r="D174" s="48"/>
      <c r="E174" s="107"/>
      <c r="F174" s="49"/>
      <c r="G174" s="21"/>
      <c r="H174" s="21"/>
    </row>
    <row r="175" spans="3:8" ht="16.5" x14ac:dyDescent="0.25">
      <c r="C175" s="47"/>
      <c r="D175" s="48"/>
      <c r="E175" s="107"/>
      <c r="F175" s="49"/>
      <c r="G175" s="21"/>
      <c r="H175" s="21"/>
    </row>
    <row r="176" spans="3:8" ht="16.5" x14ac:dyDescent="0.25">
      <c r="C176" s="47"/>
      <c r="D176" s="48"/>
      <c r="E176" s="107"/>
      <c r="F176" s="49"/>
      <c r="G176" s="21"/>
      <c r="H176" s="21"/>
    </row>
    <row r="177" spans="3:8" ht="16.5" x14ac:dyDescent="0.25">
      <c r="C177" s="47"/>
      <c r="D177" s="48"/>
      <c r="E177" s="107"/>
      <c r="F177" s="49"/>
      <c r="G177" s="21"/>
      <c r="H177" s="21"/>
    </row>
    <row r="178" spans="3:8" ht="16.5" x14ac:dyDescent="0.25">
      <c r="C178" s="47"/>
      <c r="D178" s="48"/>
      <c r="E178" s="107"/>
      <c r="F178" s="49"/>
      <c r="G178" s="21"/>
      <c r="H178" s="21"/>
    </row>
    <row r="179" spans="3:8" ht="16.5" x14ac:dyDescent="0.25">
      <c r="C179" s="47"/>
      <c r="D179" s="48"/>
      <c r="E179" s="107"/>
      <c r="F179" s="49"/>
      <c r="G179" s="21"/>
      <c r="H179" s="21"/>
    </row>
    <row r="180" spans="3:8" ht="16.5" x14ac:dyDescent="0.25">
      <c r="C180" s="47"/>
      <c r="D180" s="48"/>
      <c r="E180" s="107"/>
      <c r="F180" s="49"/>
      <c r="G180" s="21"/>
      <c r="H180" s="21"/>
    </row>
    <row r="181" spans="3:8" ht="16.5" x14ac:dyDescent="0.25">
      <c r="C181" s="47"/>
      <c r="D181" s="48"/>
      <c r="E181" s="107"/>
      <c r="F181" s="49"/>
      <c r="G181" s="21"/>
      <c r="H181" s="21"/>
    </row>
    <row r="182" spans="3:8" ht="16.5" x14ac:dyDescent="0.25">
      <c r="C182" s="47"/>
      <c r="D182" s="48"/>
      <c r="E182" s="107"/>
      <c r="F182" s="49"/>
      <c r="G182" s="21"/>
      <c r="H182" s="21"/>
    </row>
    <row r="183" spans="3:8" ht="16.5" x14ac:dyDescent="0.25">
      <c r="C183" s="47"/>
      <c r="D183" s="48"/>
      <c r="E183" s="110"/>
      <c r="F183" s="49"/>
      <c r="G183" s="21"/>
      <c r="H183" s="21"/>
    </row>
    <row r="184" spans="3:8" ht="16.5" x14ac:dyDescent="0.25">
      <c r="C184" s="47"/>
      <c r="D184" s="48"/>
      <c r="E184" s="107"/>
      <c r="F184" s="49"/>
      <c r="G184" s="21"/>
      <c r="H184" s="21"/>
    </row>
    <row r="185" spans="3:8" ht="16.5" x14ac:dyDescent="0.25">
      <c r="C185" s="47"/>
      <c r="D185" s="48"/>
      <c r="E185" s="107"/>
      <c r="F185" s="49"/>
      <c r="G185" s="21"/>
      <c r="H185" s="21"/>
    </row>
    <row r="186" spans="3:8" ht="16.5" x14ac:dyDescent="0.25">
      <c r="C186" s="47"/>
      <c r="D186" s="48"/>
      <c r="E186" s="107"/>
      <c r="F186" s="49"/>
      <c r="G186" s="21"/>
      <c r="H186" s="21"/>
    </row>
    <row r="187" spans="3:8" ht="16.5" x14ac:dyDescent="0.25">
      <c r="C187" s="47"/>
      <c r="D187" s="48"/>
      <c r="E187" s="107"/>
      <c r="F187" s="49"/>
      <c r="G187" s="21"/>
      <c r="H187" s="21"/>
    </row>
    <row r="188" spans="3:8" ht="16.5" x14ac:dyDescent="0.25">
      <c r="C188" s="47"/>
      <c r="D188" s="48"/>
      <c r="E188" s="107"/>
      <c r="F188" s="49"/>
      <c r="G188" s="21"/>
      <c r="H188" s="21"/>
    </row>
    <row r="189" spans="3:8" ht="16.5" x14ac:dyDescent="0.25">
      <c r="C189" s="47"/>
      <c r="D189" s="48"/>
      <c r="E189" s="107"/>
      <c r="F189" s="49"/>
      <c r="G189" s="21"/>
      <c r="H189" s="21"/>
    </row>
    <row r="190" spans="3:8" ht="16.5" x14ac:dyDescent="0.25">
      <c r="C190" s="47"/>
      <c r="D190" s="48"/>
      <c r="E190" s="107"/>
      <c r="F190" s="49"/>
      <c r="G190" s="21"/>
      <c r="H190" s="21"/>
    </row>
    <row r="191" spans="3:8" ht="16.5" x14ac:dyDescent="0.25">
      <c r="C191" s="47"/>
      <c r="D191" s="48"/>
      <c r="E191" s="107"/>
      <c r="F191" s="49"/>
      <c r="G191" s="21"/>
      <c r="H191" s="21"/>
    </row>
    <row r="192" spans="3:8" ht="16.5" x14ac:dyDescent="0.25">
      <c r="C192" s="47"/>
      <c r="D192" s="48"/>
      <c r="E192" s="107"/>
      <c r="F192" s="49"/>
      <c r="G192" s="21"/>
      <c r="H192" s="21"/>
    </row>
    <row r="193" spans="3:8" ht="16.5" x14ac:dyDescent="0.3">
      <c r="C193" s="50"/>
      <c r="D193" s="51"/>
      <c r="E193" s="107"/>
      <c r="F193" s="49"/>
      <c r="G193" s="21"/>
      <c r="H193" s="21"/>
    </row>
    <row r="194" spans="3:8" ht="16.5" x14ac:dyDescent="0.25">
      <c r="C194" s="52"/>
      <c r="D194" s="53"/>
      <c r="E194" s="107"/>
      <c r="F194" s="49"/>
      <c r="G194" s="21"/>
      <c r="H194" s="21"/>
    </row>
    <row r="195" spans="3:8" ht="16.5" x14ac:dyDescent="0.25">
      <c r="C195" s="52"/>
      <c r="D195" s="53"/>
      <c r="E195" s="107"/>
      <c r="F195" s="49"/>
      <c r="G195" s="21"/>
      <c r="H195" s="21"/>
    </row>
    <row r="196" spans="3:8" ht="16.5" x14ac:dyDescent="0.25">
      <c r="C196" s="54"/>
      <c r="D196" s="53"/>
      <c r="E196" s="107"/>
      <c r="F196" s="49"/>
      <c r="G196" s="21"/>
      <c r="H196" s="21"/>
    </row>
    <row r="197" spans="3:8" ht="16.5" x14ac:dyDescent="0.25">
      <c r="C197" s="54"/>
      <c r="D197" s="53"/>
      <c r="E197" s="107"/>
      <c r="F197" s="49"/>
      <c r="G197" s="21"/>
      <c r="H197" s="21"/>
    </row>
    <row r="198" spans="3:8" ht="16.5" x14ac:dyDescent="0.25">
      <c r="C198" s="54"/>
      <c r="D198" s="53"/>
      <c r="E198" s="107"/>
      <c r="F198" s="49"/>
      <c r="G198" s="21"/>
      <c r="H198" s="21"/>
    </row>
    <row r="199" spans="3:8" ht="16.5" x14ac:dyDescent="0.25">
      <c r="C199" s="54"/>
      <c r="D199" s="53"/>
      <c r="E199" s="107"/>
      <c r="F199" s="49"/>
      <c r="G199" s="21"/>
      <c r="H199" s="21"/>
    </row>
    <row r="200" spans="3:8" ht="16.5" x14ac:dyDescent="0.25">
      <c r="C200" s="54"/>
      <c r="D200" s="53"/>
      <c r="E200" s="107"/>
      <c r="F200" s="49"/>
      <c r="G200" s="21"/>
      <c r="H200" s="21"/>
    </row>
    <row r="201" spans="3:8" ht="16.5" x14ac:dyDescent="0.25">
      <c r="C201" s="54"/>
      <c r="D201" s="53"/>
      <c r="E201" s="107"/>
      <c r="F201" s="49"/>
      <c r="G201" s="21"/>
      <c r="H201" s="21"/>
    </row>
    <row r="202" spans="3:8" ht="16.5" x14ac:dyDescent="0.25">
      <c r="C202" s="54"/>
      <c r="D202" s="53"/>
      <c r="E202" s="107"/>
      <c r="F202" s="49"/>
      <c r="G202" s="21"/>
      <c r="H202" s="21"/>
    </row>
    <row r="203" spans="3:8" ht="16.5" x14ac:dyDescent="0.25">
      <c r="C203" s="54"/>
      <c r="D203" s="53"/>
      <c r="E203" s="107"/>
      <c r="F203" s="49"/>
      <c r="G203" s="21"/>
      <c r="H203" s="21"/>
    </row>
    <row r="204" spans="3:8" ht="16.5" x14ac:dyDescent="0.25">
      <c r="C204" s="54"/>
      <c r="D204" s="53"/>
      <c r="E204" s="107"/>
      <c r="F204" s="49"/>
      <c r="G204" s="21"/>
      <c r="H204" s="21"/>
    </row>
    <row r="205" spans="3:8" ht="16.5" x14ac:dyDescent="0.25">
      <c r="C205" s="54"/>
      <c r="D205" s="53"/>
      <c r="E205" s="107"/>
      <c r="F205" s="49"/>
      <c r="G205" s="21"/>
      <c r="H205" s="21"/>
    </row>
    <row r="206" spans="3:8" ht="16.5" x14ac:dyDescent="0.25">
      <c r="C206" s="54"/>
      <c r="D206" s="53"/>
      <c r="E206" s="107"/>
      <c r="F206" s="49"/>
      <c r="G206" s="21"/>
      <c r="H206" s="21"/>
    </row>
    <row r="207" spans="3:8" ht="16.5" x14ac:dyDescent="0.25">
      <c r="C207" s="54"/>
      <c r="D207" s="53"/>
      <c r="E207" s="107"/>
      <c r="F207" s="49"/>
      <c r="G207" s="21"/>
      <c r="H207" s="21"/>
    </row>
    <row r="208" spans="3:8" ht="16.5" x14ac:dyDescent="0.25">
      <c r="C208" s="54"/>
      <c r="D208" s="53"/>
      <c r="E208" s="107"/>
      <c r="F208" s="49"/>
      <c r="G208" s="21"/>
      <c r="H208" s="21"/>
    </row>
    <row r="209" spans="3:8" ht="16.5" x14ac:dyDescent="0.25">
      <c r="C209" s="54"/>
      <c r="D209" s="53"/>
      <c r="E209" s="107"/>
      <c r="F209" s="49"/>
      <c r="G209" s="21"/>
      <c r="H209" s="21"/>
    </row>
    <row r="210" spans="3:8" ht="16.5" x14ac:dyDescent="0.25">
      <c r="C210" s="54"/>
      <c r="D210" s="53"/>
      <c r="E210" s="107"/>
      <c r="F210" s="49"/>
      <c r="G210" s="21"/>
      <c r="H210" s="21"/>
    </row>
    <row r="211" spans="3:8" ht="16.5" x14ac:dyDescent="0.25">
      <c r="C211" s="54"/>
      <c r="D211" s="53"/>
      <c r="E211" s="107"/>
      <c r="F211" s="49"/>
      <c r="G211" s="21"/>
      <c r="H211" s="21"/>
    </row>
    <row r="212" spans="3:8" ht="16.5" x14ac:dyDescent="0.25">
      <c r="C212" s="54"/>
      <c r="D212" s="53"/>
      <c r="E212" s="107"/>
      <c r="F212" s="49"/>
      <c r="G212" s="21"/>
      <c r="H212" s="21"/>
    </row>
    <row r="213" spans="3:8" ht="16.5" x14ac:dyDescent="0.25">
      <c r="C213" s="54"/>
      <c r="D213" s="53"/>
      <c r="E213" s="107"/>
      <c r="F213" s="49"/>
      <c r="G213" s="21"/>
      <c r="H213" s="21"/>
    </row>
    <row r="214" spans="3:8" ht="16.5" x14ac:dyDescent="0.25">
      <c r="C214" s="54"/>
      <c r="D214" s="53"/>
      <c r="E214" s="107"/>
      <c r="F214" s="49"/>
      <c r="G214" s="21"/>
      <c r="H214" s="21"/>
    </row>
    <row r="215" spans="3:8" ht="16.5" x14ac:dyDescent="0.25">
      <c r="C215" s="54"/>
      <c r="D215" s="53"/>
      <c r="E215" s="107"/>
      <c r="F215" s="49"/>
      <c r="G215" s="21"/>
      <c r="H215" s="21"/>
    </row>
    <row r="216" spans="3:8" ht="16.5" x14ac:dyDescent="0.25">
      <c r="C216" s="54"/>
      <c r="D216" s="53"/>
      <c r="E216" s="107"/>
      <c r="F216" s="49"/>
      <c r="G216" s="21"/>
      <c r="H216" s="21"/>
    </row>
    <row r="217" spans="3:8" ht="16.5" x14ac:dyDescent="0.25">
      <c r="C217" s="54"/>
      <c r="D217" s="53"/>
      <c r="E217" s="107"/>
      <c r="F217" s="49"/>
      <c r="G217" s="21"/>
      <c r="H217" s="21"/>
    </row>
    <row r="218" spans="3:8" ht="16.5" x14ac:dyDescent="0.25">
      <c r="C218" s="54"/>
      <c r="D218" s="53"/>
      <c r="E218" s="107"/>
      <c r="F218" s="49"/>
      <c r="G218" s="21"/>
      <c r="H218" s="21"/>
    </row>
    <row r="219" spans="3:8" ht="16.5" x14ac:dyDescent="0.25">
      <c r="C219" s="54"/>
      <c r="D219" s="53"/>
      <c r="E219" s="111"/>
      <c r="F219" s="49"/>
      <c r="G219" s="21"/>
      <c r="H219" s="21"/>
    </row>
    <row r="220" spans="3:8" ht="16.5" x14ac:dyDescent="0.25">
      <c r="C220" s="54"/>
      <c r="D220" s="53"/>
      <c r="E220" s="107"/>
      <c r="F220" s="49"/>
      <c r="G220" s="21"/>
      <c r="H220" s="21"/>
    </row>
    <row r="221" spans="3:8" ht="16.5" x14ac:dyDescent="0.25">
      <c r="C221" s="54"/>
      <c r="D221" s="53"/>
      <c r="E221" s="107"/>
      <c r="F221" s="49"/>
      <c r="G221" s="21"/>
      <c r="H221" s="21"/>
    </row>
    <row r="222" spans="3:8" ht="16.5" x14ac:dyDescent="0.25">
      <c r="C222" s="54"/>
      <c r="D222" s="53"/>
      <c r="E222" s="107"/>
      <c r="F222" s="49"/>
      <c r="G222" s="21"/>
      <c r="H222" s="21"/>
    </row>
    <row r="223" spans="3:8" ht="16.5" x14ac:dyDescent="0.25">
      <c r="C223" s="54"/>
      <c r="D223" s="53"/>
      <c r="E223" s="107"/>
      <c r="F223" s="49"/>
      <c r="G223" s="21"/>
      <c r="H223" s="21"/>
    </row>
    <row r="224" spans="3:8" ht="16.5" x14ac:dyDescent="0.25">
      <c r="C224" s="54"/>
      <c r="D224" s="53"/>
      <c r="E224" s="107"/>
      <c r="F224" s="49"/>
      <c r="G224" s="21"/>
      <c r="H224" s="21"/>
    </row>
    <row r="225" spans="3:8" ht="16.5" x14ac:dyDescent="0.25">
      <c r="C225" s="54"/>
      <c r="D225" s="53"/>
      <c r="E225" s="107"/>
      <c r="F225" s="49"/>
      <c r="G225" s="21"/>
      <c r="H225" s="21"/>
    </row>
    <row r="226" spans="3:8" ht="16.5" x14ac:dyDescent="0.25">
      <c r="C226" s="54"/>
      <c r="D226" s="53"/>
      <c r="E226" s="107"/>
      <c r="F226" s="49"/>
      <c r="G226" s="21"/>
      <c r="H226" s="21"/>
    </row>
    <row r="227" spans="3:8" ht="16.5" x14ac:dyDescent="0.25">
      <c r="C227" s="54"/>
      <c r="D227" s="53"/>
      <c r="E227" s="107"/>
      <c r="F227" s="49"/>
      <c r="G227" s="21"/>
      <c r="H227" s="21"/>
    </row>
    <row r="228" spans="3:8" ht="16.5" x14ac:dyDescent="0.25">
      <c r="C228" s="54"/>
      <c r="D228" s="53"/>
      <c r="E228" s="107"/>
      <c r="F228" s="49"/>
      <c r="G228" s="21"/>
      <c r="H228" s="21"/>
    </row>
    <row r="229" spans="3:8" ht="16.5" x14ac:dyDescent="0.25">
      <c r="C229" s="54"/>
      <c r="D229" s="53"/>
      <c r="E229" s="107"/>
      <c r="F229" s="49"/>
      <c r="G229" s="21"/>
      <c r="H229" s="21"/>
    </row>
    <row r="230" spans="3:8" ht="16.5" x14ac:dyDescent="0.25">
      <c r="C230" s="54"/>
      <c r="D230" s="53"/>
      <c r="E230" s="107"/>
      <c r="F230" s="49"/>
      <c r="G230" s="21"/>
      <c r="H230" s="21"/>
    </row>
    <row r="231" spans="3:8" ht="16.5" x14ac:dyDescent="0.25">
      <c r="C231" s="54"/>
      <c r="D231" s="53"/>
      <c r="E231" s="107"/>
      <c r="F231" s="49"/>
      <c r="G231" s="21"/>
      <c r="H231" s="21"/>
    </row>
    <row r="232" spans="3:8" ht="16.5" x14ac:dyDescent="0.25">
      <c r="C232" s="54"/>
      <c r="D232" s="53"/>
      <c r="E232" s="107"/>
      <c r="F232" s="49"/>
      <c r="G232" s="21"/>
      <c r="H232" s="21"/>
    </row>
    <row r="233" spans="3:8" ht="16.5" x14ac:dyDescent="0.25">
      <c r="C233" s="54"/>
      <c r="D233" s="53"/>
      <c r="E233" s="107"/>
      <c r="F233" s="49"/>
      <c r="G233" s="21"/>
      <c r="H233" s="21"/>
    </row>
    <row r="234" spans="3:8" ht="16.5" x14ac:dyDescent="0.25">
      <c r="C234" s="54"/>
      <c r="D234" s="53"/>
      <c r="E234" s="107"/>
      <c r="F234" s="49"/>
      <c r="G234" s="21"/>
      <c r="H234" s="21"/>
    </row>
    <row r="235" spans="3:8" ht="16.5" x14ac:dyDescent="0.25">
      <c r="C235" s="54"/>
      <c r="D235" s="53"/>
      <c r="E235" s="107"/>
      <c r="F235" s="49"/>
      <c r="G235" s="21"/>
      <c r="H235" s="21"/>
    </row>
    <row r="236" spans="3:8" ht="16.5" x14ac:dyDescent="0.25">
      <c r="C236" s="54"/>
      <c r="D236" s="53"/>
      <c r="E236" s="107"/>
      <c r="F236" s="49"/>
      <c r="G236" s="21"/>
      <c r="H236" s="21"/>
    </row>
    <row r="237" spans="3:8" ht="16.5" x14ac:dyDescent="0.25">
      <c r="C237" s="54"/>
      <c r="D237" s="53"/>
      <c r="E237" s="107"/>
      <c r="F237" s="49"/>
      <c r="G237" s="21"/>
      <c r="H237" s="21"/>
    </row>
    <row r="238" spans="3:8" ht="16.5" x14ac:dyDescent="0.25">
      <c r="C238" s="54"/>
      <c r="D238" s="53"/>
      <c r="E238" s="107"/>
      <c r="F238" s="49"/>
      <c r="G238" s="21"/>
      <c r="H238" s="21"/>
    </row>
    <row r="239" spans="3:8" ht="16.5" x14ac:dyDescent="0.25">
      <c r="C239" s="54"/>
      <c r="D239" s="53"/>
      <c r="E239" s="107"/>
      <c r="F239" s="49"/>
      <c r="G239" s="21"/>
      <c r="H239" s="21"/>
    </row>
    <row r="240" spans="3:8" ht="16.5" x14ac:dyDescent="0.25">
      <c r="C240" s="54"/>
      <c r="D240" s="53"/>
      <c r="E240" s="107"/>
      <c r="F240" s="49"/>
      <c r="G240" s="21"/>
      <c r="H240" s="21"/>
    </row>
    <row r="241" spans="3:8" ht="16.5" x14ac:dyDescent="0.25">
      <c r="C241" s="54"/>
      <c r="D241" s="53"/>
      <c r="E241" s="107"/>
      <c r="F241" s="49"/>
      <c r="G241" s="21"/>
      <c r="H241" s="21"/>
    </row>
    <row r="242" spans="3:8" ht="16.5" x14ac:dyDescent="0.25">
      <c r="C242" s="54"/>
      <c r="D242" s="53"/>
      <c r="E242" s="107"/>
      <c r="F242" s="49"/>
      <c r="G242" s="21"/>
      <c r="H242" s="21"/>
    </row>
    <row r="243" spans="3:8" ht="16.5" x14ac:dyDescent="0.25">
      <c r="C243" s="54"/>
      <c r="D243" s="53"/>
      <c r="E243" s="107"/>
      <c r="F243" s="49"/>
      <c r="G243" s="21"/>
      <c r="H243" s="21"/>
    </row>
    <row r="244" spans="3:8" ht="16.5" x14ac:dyDescent="0.25">
      <c r="C244" s="54"/>
      <c r="D244" s="53"/>
      <c r="E244" s="107"/>
      <c r="F244" s="49"/>
      <c r="G244" s="21"/>
      <c r="H244" s="21"/>
    </row>
    <row r="245" spans="3:8" ht="16.5" x14ac:dyDescent="0.25">
      <c r="C245" s="54"/>
      <c r="D245" s="53"/>
      <c r="E245" s="107"/>
      <c r="F245" s="49"/>
      <c r="G245" s="21"/>
      <c r="H245" s="21"/>
    </row>
    <row r="246" spans="3:8" ht="16.5" x14ac:dyDescent="0.25">
      <c r="C246" s="54"/>
      <c r="D246" s="53"/>
      <c r="E246" s="107"/>
      <c r="F246" s="49"/>
      <c r="G246" s="21"/>
      <c r="H246" s="21"/>
    </row>
    <row r="247" spans="3:8" ht="16.5" x14ac:dyDescent="0.25">
      <c r="C247" s="54"/>
      <c r="D247" s="53"/>
      <c r="E247" s="107"/>
      <c r="F247" s="49"/>
      <c r="G247" s="21"/>
      <c r="H247" s="21"/>
    </row>
    <row r="248" spans="3:8" ht="16.5" x14ac:dyDescent="0.25">
      <c r="C248" s="54"/>
      <c r="D248" s="53"/>
      <c r="E248" s="107"/>
      <c r="F248" s="49"/>
      <c r="G248" s="21"/>
      <c r="H248" s="21"/>
    </row>
    <row r="249" spans="3:8" ht="16.5" x14ac:dyDescent="0.25">
      <c r="C249" s="54"/>
      <c r="D249" s="53"/>
      <c r="E249" s="107"/>
      <c r="F249" s="49"/>
      <c r="G249" s="21"/>
      <c r="H249" s="21"/>
    </row>
    <row r="250" spans="3:8" ht="16.5" x14ac:dyDescent="0.25">
      <c r="C250" s="54"/>
      <c r="D250" s="53"/>
      <c r="E250" s="107"/>
      <c r="F250" s="49"/>
      <c r="G250" s="21"/>
      <c r="H250" s="21"/>
    </row>
    <row r="251" spans="3:8" ht="16.5" x14ac:dyDescent="0.25">
      <c r="C251" s="54"/>
      <c r="D251" s="53"/>
      <c r="E251" s="107"/>
      <c r="F251" s="49"/>
      <c r="G251" s="21"/>
      <c r="H251" s="21"/>
    </row>
    <row r="252" spans="3:8" ht="16.5" x14ac:dyDescent="0.25">
      <c r="C252" s="54"/>
      <c r="D252" s="53"/>
      <c r="E252" s="107"/>
      <c r="F252" s="49"/>
      <c r="G252" s="21"/>
      <c r="H252" s="21"/>
    </row>
    <row r="253" spans="3:8" ht="16.5" x14ac:dyDescent="0.25">
      <c r="C253" s="54"/>
      <c r="D253" s="53"/>
      <c r="E253" s="107"/>
      <c r="F253" s="49"/>
      <c r="G253" s="21"/>
      <c r="H253" s="21"/>
    </row>
    <row r="254" spans="3:8" ht="16.5" x14ac:dyDescent="0.25">
      <c r="C254" s="54"/>
      <c r="D254" s="53"/>
      <c r="E254" s="107"/>
      <c r="F254" s="49"/>
      <c r="G254" s="21"/>
      <c r="H254" s="21"/>
    </row>
    <row r="255" spans="3:8" ht="16.5" x14ac:dyDescent="0.25">
      <c r="C255" s="54"/>
      <c r="D255" s="53"/>
      <c r="E255" s="107"/>
      <c r="F255" s="49"/>
      <c r="G255" s="21"/>
      <c r="H255" s="21"/>
    </row>
    <row r="256" spans="3:8" ht="16.5" x14ac:dyDescent="0.25">
      <c r="C256" s="54"/>
      <c r="D256" s="53"/>
      <c r="E256" s="107"/>
      <c r="F256" s="49"/>
      <c r="G256" s="21"/>
      <c r="H256" s="21"/>
    </row>
    <row r="257" spans="3:8" ht="16.5" x14ac:dyDescent="0.25">
      <c r="C257" s="54"/>
      <c r="D257" s="53"/>
      <c r="E257" s="107"/>
      <c r="F257" s="49"/>
      <c r="G257" s="21"/>
      <c r="H257" s="21"/>
    </row>
    <row r="258" spans="3:8" ht="16.5" x14ac:dyDescent="0.25">
      <c r="C258" s="54"/>
      <c r="D258" s="53"/>
      <c r="E258" s="107"/>
      <c r="F258" s="49"/>
      <c r="G258" s="21"/>
      <c r="H258" s="21"/>
    </row>
    <row r="259" spans="3:8" ht="16.5" x14ac:dyDescent="0.25">
      <c r="C259" s="54"/>
      <c r="D259" s="53"/>
      <c r="E259" s="107"/>
      <c r="F259" s="49"/>
      <c r="G259" s="21"/>
      <c r="H259" s="21"/>
    </row>
    <row r="260" spans="3:8" ht="16.5" x14ac:dyDescent="0.25">
      <c r="C260" s="54"/>
      <c r="D260" s="53"/>
      <c r="E260" s="107"/>
      <c r="F260" s="49"/>
      <c r="G260" s="21"/>
      <c r="H260" s="21"/>
    </row>
    <row r="261" spans="3:8" ht="16.5" x14ac:dyDescent="0.25">
      <c r="C261" s="54"/>
      <c r="D261" s="53"/>
      <c r="E261" s="107"/>
      <c r="F261" s="49"/>
      <c r="G261" s="21"/>
      <c r="H261" s="21"/>
    </row>
    <row r="262" spans="3:8" ht="16.5" x14ac:dyDescent="0.25">
      <c r="C262" s="54"/>
      <c r="D262" s="53"/>
      <c r="E262" s="107"/>
      <c r="F262" s="49"/>
      <c r="G262" s="21"/>
      <c r="H262" s="21"/>
    </row>
    <row r="263" spans="3:8" ht="16.5" x14ac:dyDescent="0.25">
      <c r="C263" s="54"/>
      <c r="D263" s="53"/>
      <c r="E263" s="107"/>
      <c r="F263" s="49"/>
      <c r="G263" s="21"/>
      <c r="H263" s="21"/>
    </row>
    <row r="264" spans="3:8" ht="16.5" x14ac:dyDescent="0.25">
      <c r="C264" s="54"/>
      <c r="D264" s="53"/>
      <c r="E264" s="107"/>
      <c r="F264" s="49"/>
      <c r="G264" s="21"/>
      <c r="H264" s="21"/>
    </row>
    <row r="265" spans="3:8" ht="16.5" x14ac:dyDescent="0.25">
      <c r="C265" s="54"/>
      <c r="D265" s="53"/>
      <c r="E265" s="107"/>
      <c r="F265" s="49"/>
      <c r="G265" s="21"/>
      <c r="H265" s="21"/>
    </row>
    <row r="266" spans="3:8" ht="16.5" x14ac:dyDescent="0.25">
      <c r="C266" s="54"/>
      <c r="D266" s="53"/>
      <c r="E266" s="107"/>
      <c r="F266" s="49"/>
      <c r="G266" s="21"/>
      <c r="H266" s="21"/>
    </row>
    <row r="267" spans="3:8" ht="16.5" x14ac:dyDescent="0.25">
      <c r="C267" s="54"/>
      <c r="D267" s="53"/>
      <c r="E267" s="107"/>
      <c r="F267" s="49"/>
      <c r="G267" s="21"/>
      <c r="H267" s="21"/>
    </row>
    <row r="268" spans="3:8" ht="16.5" x14ac:dyDescent="0.25">
      <c r="C268" s="54"/>
      <c r="D268" s="53"/>
      <c r="E268" s="107"/>
      <c r="F268" s="49"/>
      <c r="G268" s="21"/>
      <c r="H268" s="21"/>
    </row>
    <row r="269" spans="3:8" ht="16.5" x14ac:dyDescent="0.25">
      <c r="C269" s="54"/>
      <c r="D269" s="53"/>
      <c r="E269" s="107"/>
      <c r="F269" s="49"/>
      <c r="G269" s="21"/>
      <c r="H269" s="21"/>
    </row>
    <row r="270" spans="3:8" ht="16.5" x14ac:dyDescent="0.25">
      <c r="C270" s="54"/>
      <c r="D270" s="53"/>
      <c r="E270" s="107"/>
      <c r="F270" s="49"/>
      <c r="G270" s="21"/>
      <c r="H270" s="21"/>
    </row>
    <row r="271" spans="3:8" ht="16.5" x14ac:dyDescent="0.25">
      <c r="C271" s="54"/>
      <c r="D271" s="53"/>
      <c r="E271" s="107"/>
      <c r="F271" s="49"/>
      <c r="G271" s="21"/>
      <c r="H271" s="21"/>
    </row>
    <row r="272" spans="3:8" ht="16.5" x14ac:dyDescent="0.25">
      <c r="C272" s="54"/>
      <c r="D272" s="53"/>
      <c r="E272" s="107"/>
      <c r="F272" s="49"/>
      <c r="G272" s="21"/>
      <c r="H272" s="21"/>
    </row>
    <row r="273" spans="3:8" ht="16.5" x14ac:dyDescent="0.25">
      <c r="C273" s="54"/>
      <c r="D273" s="53"/>
      <c r="E273" s="107"/>
      <c r="F273" s="49"/>
      <c r="G273" s="21"/>
      <c r="H273" s="21"/>
    </row>
    <row r="274" spans="3:8" ht="16.5" x14ac:dyDescent="0.25">
      <c r="C274" s="54"/>
      <c r="D274" s="53"/>
      <c r="E274" s="107"/>
      <c r="F274" s="49"/>
      <c r="G274" s="21"/>
      <c r="H274" s="21"/>
    </row>
    <row r="275" spans="3:8" ht="16.5" x14ac:dyDescent="0.25">
      <c r="C275" s="54"/>
      <c r="D275" s="53"/>
      <c r="E275" s="107"/>
      <c r="F275" s="49"/>
      <c r="G275" s="21"/>
      <c r="H275" s="21"/>
    </row>
    <row r="276" spans="3:8" ht="16.5" x14ac:dyDescent="0.25">
      <c r="C276" s="54"/>
      <c r="D276" s="53"/>
      <c r="E276" s="107"/>
      <c r="F276" s="49"/>
      <c r="G276" s="21"/>
      <c r="H276" s="21"/>
    </row>
    <row r="277" spans="3:8" ht="16.5" x14ac:dyDescent="0.25">
      <c r="C277" s="54"/>
      <c r="D277" s="53"/>
      <c r="E277" s="107"/>
      <c r="F277" s="49"/>
      <c r="G277" s="21"/>
      <c r="H277" s="21"/>
    </row>
    <row r="278" spans="3:8" ht="16.5" x14ac:dyDescent="0.25">
      <c r="C278" s="54"/>
      <c r="D278" s="53"/>
      <c r="E278" s="107"/>
      <c r="F278" s="49"/>
      <c r="G278" s="21"/>
      <c r="H278" s="21"/>
    </row>
    <row r="279" spans="3:8" ht="16.5" x14ac:dyDescent="0.25">
      <c r="C279" s="54"/>
      <c r="D279" s="53"/>
      <c r="E279" s="107"/>
      <c r="F279" s="49"/>
      <c r="G279" s="21"/>
      <c r="H279" s="21"/>
    </row>
    <row r="280" spans="3:8" ht="16.5" x14ac:dyDescent="0.25">
      <c r="C280" s="54"/>
      <c r="D280" s="53"/>
      <c r="E280" s="107"/>
      <c r="F280" s="49"/>
      <c r="G280" s="21"/>
      <c r="H280" s="21"/>
    </row>
    <row r="281" spans="3:8" ht="16.5" x14ac:dyDescent="0.25">
      <c r="C281" s="54"/>
      <c r="D281" s="53"/>
      <c r="E281" s="107"/>
      <c r="F281" s="49"/>
      <c r="G281" s="21"/>
      <c r="H281" s="21"/>
    </row>
    <row r="282" spans="3:8" ht="16.5" x14ac:dyDescent="0.25">
      <c r="C282" s="54"/>
      <c r="D282" s="53"/>
      <c r="E282" s="107"/>
      <c r="F282" s="49"/>
      <c r="G282" s="21"/>
      <c r="H282" s="21"/>
    </row>
    <row r="283" spans="3:8" ht="16.5" x14ac:dyDescent="0.25">
      <c r="C283" s="54"/>
      <c r="D283" s="53"/>
      <c r="E283" s="107"/>
      <c r="F283" s="49"/>
      <c r="G283" s="21"/>
      <c r="H283" s="21"/>
    </row>
    <row r="284" spans="3:8" ht="16.5" x14ac:dyDescent="0.25">
      <c r="C284" s="54"/>
      <c r="D284" s="53"/>
      <c r="E284" s="107"/>
      <c r="F284" s="49"/>
      <c r="G284" s="21"/>
      <c r="H284" s="21"/>
    </row>
    <row r="285" spans="3:8" ht="16.5" x14ac:dyDescent="0.25">
      <c r="C285" s="54"/>
      <c r="D285" s="53"/>
      <c r="E285" s="107"/>
      <c r="F285" s="49"/>
      <c r="G285" s="21"/>
      <c r="H285" s="21"/>
    </row>
    <row r="286" spans="3:8" ht="16.5" x14ac:dyDescent="0.25">
      <c r="C286" s="54"/>
      <c r="D286" s="53"/>
      <c r="E286" s="107"/>
      <c r="F286" s="49"/>
      <c r="G286" s="21"/>
      <c r="H286" s="21"/>
    </row>
    <row r="287" spans="3:8" ht="16.5" x14ac:dyDescent="0.25">
      <c r="C287" s="54"/>
      <c r="D287" s="53"/>
      <c r="E287" s="107"/>
      <c r="F287" s="49"/>
      <c r="G287" s="21"/>
      <c r="H287" s="21"/>
    </row>
    <row r="288" spans="3:8" ht="16.5" x14ac:dyDescent="0.25">
      <c r="C288" s="54"/>
      <c r="D288" s="53"/>
      <c r="E288" s="107"/>
      <c r="F288" s="49"/>
      <c r="G288" s="21"/>
      <c r="H288" s="21"/>
    </row>
    <row r="289" spans="3:8" ht="16.5" x14ac:dyDescent="0.25">
      <c r="C289" s="54"/>
      <c r="D289" s="53"/>
      <c r="E289" s="107"/>
      <c r="F289" s="49"/>
      <c r="G289" s="21"/>
      <c r="H289" s="21"/>
    </row>
    <row r="290" spans="3:8" ht="16.5" x14ac:dyDescent="0.25">
      <c r="C290" s="54"/>
      <c r="D290" s="53"/>
      <c r="E290" s="107"/>
      <c r="F290" s="49"/>
      <c r="G290" s="21"/>
      <c r="H290" s="21"/>
    </row>
    <row r="291" spans="3:8" ht="16.5" x14ac:dyDescent="0.25">
      <c r="C291" s="54"/>
      <c r="D291" s="53"/>
      <c r="E291" s="107"/>
      <c r="F291" s="49"/>
      <c r="G291" s="21"/>
      <c r="H291" s="21"/>
    </row>
    <row r="292" spans="3:8" ht="16.5" x14ac:dyDescent="0.25">
      <c r="C292" s="54"/>
      <c r="D292" s="53"/>
      <c r="E292" s="107"/>
      <c r="F292" s="49"/>
      <c r="G292" s="21"/>
      <c r="H292" s="21"/>
    </row>
    <row r="293" spans="3:8" ht="16.5" x14ac:dyDescent="0.25">
      <c r="C293" s="54"/>
      <c r="D293" s="53"/>
      <c r="E293" s="107"/>
      <c r="F293" s="49"/>
      <c r="G293" s="21"/>
      <c r="H293" s="21"/>
    </row>
    <row r="294" spans="3:8" ht="16.5" x14ac:dyDescent="0.25">
      <c r="C294" s="54"/>
      <c r="D294" s="53"/>
      <c r="E294" s="107"/>
      <c r="F294" s="49"/>
      <c r="G294" s="21"/>
      <c r="H294" s="21"/>
    </row>
    <row r="295" spans="3:8" ht="16.5" x14ac:dyDescent="0.25">
      <c r="C295" s="54"/>
      <c r="D295" s="53"/>
      <c r="E295" s="107"/>
      <c r="F295" s="49"/>
      <c r="G295" s="21"/>
      <c r="H295" s="21"/>
    </row>
    <row r="296" spans="3:8" ht="16.5" x14ac:dyDescent="0.25">
      <c r="C296" s="54"/>
      <c r="D296" s="53"/>
      <c r="E296" s="107"/>
      <c r="F296" s="49"/>
      <c r="G296" s="21"/>
      <c r="H296" s="21"/>
    </row>
    <row r="297" spans="3:8" ht="16.5" x14ac:dyDescent="0.25">
      <c r="C297" s="54"/>
      <c r="D297" s="53"/>
      <c r="E297" s="107"/>
      <c r="F297" s="49"/>
      <c r="G297" s="21"/>
      <c r="H297" s="21"/>
    </row>
    <row r="298" spans="3:8" ht="16.5" x14ac:dyDescent="0.25">
      <c r="C298" s="54"/>
      <c r="D298" s="53"/>
      <c r="E298" s="107"/>
      <c r="F298" s="49"/>
      <c r="G298" s="21"/>
      <c r="H298" s="21"/>
    </row>
    <row r="299" spans="3:8" ht="16.5" x14ac:dyDescent="0.25">
      <c r="C299" s="54"/>
      <c r="D299" s="53"/>
      <c r="E299" s="107"/>
      <c r="F299" s="49"/>
      <c r="G299" s="21"/>
      <c r="H299" s="21"/>
    </row>
    <row r="300" spans="3:8" ht="16.5" x14ac:dyDescent="0.25">
      <c r="C300" s="54"/>
      <c r="D300" s="53"/>
      <c r="E300" s="107"/>
      <c r="F300" s="49"/>
      <c r="G300" s="21"/>
      <c r="H300" s="21"/>
    </row>
    <row r="301" spans="3:8" ht="16.5" x14ac:dyDescent="0.25">
      <c r="C301" s="54"/>
      <c r="D301" s="53"/>
      <c r="E301" s="107"/>
      <c r="F301" s="49"/>
      <c r="G301" s="21"/>
      <c r="H301" s="21"/>
    </row>
    <row r="302" spans="3:8" ht="16.5" x14ac:dyDescent="0.25">
      <c r="C302" s="54"/>
      <c r="D302" s="53"/>
      <c r="E302" s="107"/>
      <c r="F302" s="49"/>
      <c r="G302" s="21"/>
      <c r="H302" s="21"/>
    </row>
    <row r="303" spans="3:8" ht="16.5" x14ac:dyDescent="0.25">
      <c r="C303" s="54"/>
      <c r="D303" s="53"/>
      <c r="E303" s="107"/>
      <c r="F303" s="49"/>
      <c r="G303" s="21"/>
      <c r="H303" s="21"/>
    </row>
    <row r="304" spans="3:8" ht="16.5" x14ac:dyDescent="0.25">
      <c r="C304" s="54"/>
      <c r="D304" s="53"/>
      <c r="E304" s="107"/>
      <c r="F304" s="49"/>
      <c r="G304" s="21"/>
      <c r="H304" s="21"/>
    </row>
    <row r="305" spans="3:8" ht="16.5" x14ac:dyDescent="0.25">
      <c r="C305" s="54"/>
      <c r="D305" s="53"/>
      <c r="E305" s="107"/>
      <c r="F305" s="49"/>
      <c r="G305" s="21"/>
      <c r="H305" s="21"/>
    </row>
    <row r="306" spans="3:8" ht="16.5" x14ac:dyDescent="0.25">
      <c r="C306" s="54"/>
      <c r="D306" s="53"/>
      <c r="E306" s="107"/>
      <c r="F306" s="49"/>
      <c r="G306" s="21"/>
      <c r="H306" s="21"/>
    </row>
    <row r="307" spans="3:8" ht="16.5" x14ac:dyDescent="0.25">
      <c r="C307" s="54"/>
      <c r="D307" s="53"/>
      <c r="E307" s="107"/>
      <c r="F307" s="49"/>
      <c r="G307" s="21"/>
      <c r="H307" s="21"/>
    </row>
    <row r="308" spans="3:8" ht="16.5" x14ac:dyDescent="0.25">
      <c r="C308" s="54"/>
      <c r="D308" s="53"/>
      <c r="E308" s="107"/>
      <c r="F308" s="49"/>
      <c r="G308" s="21"/>
      <c r="H308" s="21"/>
    </row>
    <row r="309" spans="3:8" ht="16.5" x14ac:dyDescent="0.25">
      <c r="C309" s="54"/>
      <c r="D309" s="53"/>
      <c r="E309" s="107"/>
      <c r="F309" s="49"/>
      <c r="G309" s="21"/>
      <c r="H309" s="21"/>
    </row>
    <row r="310" spans="3:8" ht="16.5" x14ac:dyDescent="0.25">
      <c r="C310" s="54"/>
      <c r="D310" s="53"/>
      <c r="E310" s="107"/>
      <c r="F310" s="49"/>
      <c r="G310" s="21"/>
      <c r="H310" s="21"/>
    </row>
    <row r="311" spans="3:8" ht="16.5" x14ac:dyDescent="0.25">
      <c r="C311" s="54"/>
      <c r="D311" s="53"/>
      <c r="E311" s="107"/>
      <c r="F311" s="49"/>
      <c r="G311" s="21"/>
      <c r="H311" s="21"/>
    </row>
    <row r="312" spans="3:8" ht="16.5" x14ac:dyDescent="0.25">
      <c r="C312" s="54"/>
      <c r="D312" s="53"/>
      <c r="E312" s="107"/>
      <c r="F312" s="49"/>
      <c r="G312" s="21"/>
      <c r="H312" s="21"/>
    </row>
    <row r="313" spans="3:8" ht="16.5" x14ac:dyDescent="0.25">
      <c r="C313" s="54"/>
      <c r="D313" s="53"/>
      <c r="E313" s="107"/>
      <c r="F313" s="49"/>
      <c r="G313" s="21"/>
      <c r="H313" s="21"/>
    </row>
    <row r="314" spans="3:8" ht="16.5" x14ac:dyDescent="0.25">
      <c r="C314" s="54"/>
      <c r="D314" s="53"/>
      <c r="E314" s="107"/>
      <c r="F314" s="49"/>
      <c r="G314" s="21"/>
      <c r="H314" s="21"/>
    </row>
    <row r="315" spans="3:8" ht="16.5" x14ac:dyDescent="0.25">
      <c r="C315" s="54"/>
      <c r="D315" s="53"/>
      <c r="E315" s="107"/>
      <c r="F315" s="49"/>
      <c r="G315" s="21"/>
      <c r="H315" s="21"/>
    </row>
    <row r="316" spans="3:8" ht="16.5" x14ac:dyDescent="0.25">
      <c r="C316" s="54"/>
      <c r="D316" s="53"/>
      <c r="E316" s="107"/>
      <c r="F316" s="49"/>
      <c r="G316" s="21"/>
      <c r="H316" s="21"/>
    </row>
    <row r="317" spans="3:8" ht="16.5" x14ac:dyDescent="0.25">
      <c r="C317" s="54"/>
      <c r="D317" s="53"/>
      <c r="E317" s="107"/>
      <c r="F317" s="49"/>
      <c r="G317" s="21"/>
      <c r="H317" s="21"/>
    </row>
    <row r="318" spans="3:8" ht="16.5" x14ac:dyDescent="0.25">
      <c r="C318" s="54"/>
      <c r="D318" s="53"/>
      <c r="E318" s="107"/>
      <c r="F318" s="49"/>
      <c r="G318" s="21"/>
      <c r="H318" s="21"/>
    </row>
    <row r="319" spans="3:8" ht="16.5" x14ac:dyDescent="0.25">
      <c r="C319" s="54"/>
      <c r="D319" s="53"/>
      <c r="E319" s="107"/>
      <c r="F319" s="49"/>
      <c r="G319" s="21"/>
      <c r="H319" s="21"/>
    </row>
    <row r="320" spans="3:8" ht="16.5" x14ac:dyDescent="0.25">
      <c r="C320" s="54"/>
      <c r="D320" s="53"/>
      <c r="E320" s="107"/>
      <c r="F320" s="49"/>
      <c r="G320" s="21"/>
      <c r="H320" s="21"/>
    </row>
    <row r="321" spans="3:8" ht="16.5" x14ac:dyDescent="0.25">
      <c r="C321" s="54"/>
      <c r="D321" s="53"/>
      <c r="E321" s="107"/>
      <c r="F321" s="49"/>
      <c r="G321" s="21"/>
      <c r="H321" s="21"/>
    </row>
    <row r="322" spans="3:8" ht="16.5" x14ac:dyDescent="0.25">
      <c r="C322" s="54"/>
      <c r="D322" s="53"/>
      <c r="E322" s="107"/>
      <c r="F322" s="49"/>
      <c r="G322" s="21"/>
      <c r="H322" s="21"/>
    </row>
    <row r="323" spans="3:8" ht="16.5" x14ac:dyDescent="0.25">
      <c r="C323" s="54"/>
      <c r="D323" s="53"/>
      <c r="E323" s="107"/>
      <c r="F323" s="49"/>
      <c r="G323" s="21"/>
      <c r="H323" s="21"/>
    </row>
    <row r="324" spans="3:8" ht="16.5" x14ac:dyDescent="0.25">
      <c r="C324" s="54"/>
      <c r="D324" s="53"/>
      <c r="E324" s="107"/>
      <c r="F324" s="49"/>
      <c r="G324" s="21"/>
      <c r="H324" s="21"/>
    </row>
    <row r="325" spans="3:8" ht="16.5" x14ac:dyDescent="0.25">
      <c r="C325" s="54"/>
      <c r="D325" s="53"/>
      <c r="E325" s="107"/>
      <c r="F325" s="49"/>
      <c r="G325" s="21"/>
      <c r="H325" s="21"/>
    </row>
    <row r="326" spans="3:8" ht="16.5" x14ac:dyDescent="0.25">
      <c r="C326" s="54"/>
      <c r="D326" s="53"/>
      <c r="E326" s="107"/>
      <c r="F326" s="49"/>
      <c r="G326" s="21"/>
      <c r="H326" s="21"/>
    </row>
    <row r="327" spans="3:8" ht="16.5" x14ac:dyDescent="0.25">
      <c r="C327" s="54"/>
      <c r="D327" s="53"/>
      <c r="E327" s="107"/>
      <c r="F327" s="49"/>
      <c r="G327" s="21"/>
      <c r="H327" s="21"/>
    </row>
    <row r="328" spans="3:8" ht="16.5" x14ac:dyDescent="0.25">
      <c r="C328" s="54"/>
      <c r="D328" s="53"/>
      <c r="E328" s="107"/>
      <c r="F328" s="49"/>
      <c r="G328" s="21"/>
      <c r="H328" s="21"/>
    </row>
    <row r="329" spans="3:8" ht="16.5" x14ac:dyDescent="0.25">
      <c r="C329" s="54"/>
      <c r="D329" s="53"/>
      <c r="E329" s="107"/>
      <c r="F329" s="49"/>
      <c r="G329" s="21"/>
      <c r="H329" s="21"/>
    </row>
    <row r="330" spans="3:8" ht="16.5" x14ac:dyDescent="0.25">
      <c r="C330" s="54"/>
      <c r="D330" s="53"/>
      <c r="E330" s="107"/>
      <c r="F330" s="49"/>
      <c r="G330" s="21"/>
      <c r="H330" s="21"/>
    </row>
    <row r="331" spans="3:8" ht="16.5" x14ac:dyDescent="0.25">
      <c r="C331" s="54"/>
      <c r="D331" s="53"/>
      <c r="E331" s="107"/>
      <c r="F331" s="49"/>
      <c r="G331" s="21"/>
      <c r="H331" s="21"/>
    </row>
    <row r="332" spans="3:8" ht="16.5" x14ac:dyDescent="0.25">
      <c r="C332" s="54"/>
      <c r="D332" s="53"/>
      <c r="E332" s="107"/>
      <c r="F332" s="49"/>
      <c r="G332" s="21"/>
      <c r="H332" s="21"/>
    </row>
    <row r="333" spans="3:8" ht="16.5" x14ac:dyDescent="0.25">
      <c r="C333" s="54"/>
      <c r="D333" s="53"/>
      <c r="E333" s="107"/>
      <c r="F333" s="49"/>
      <c r="G333" s="21"/>
      <c r="H333" s="21"/>
    </row>
    <row r="334" spans="3:8" ht="16.5" x14ac:dyDescent="0.25">
      <c r="C334" s="54"/>
      <c r="D334" s="53"/>
      <c r="E334" s="107"/>
      <c r="F334" s="49"/>
      <c r="G334" s="21"/>
      <c r="H334" s="21"/>
    </row>
    <row r="335" spans="3:8" ht="16.5" x14ac:dyDescent="0.25">
      <c r="C335" s="54"/>
      <c r="D335" s="53"/>
      <c r="E335" s="107"/>
      <c r="F335" s="49"/>
      <c r="G335" s="21"/>
      <c r="H335" s="21"/>
    </row>
    <row r="336" spans="3:8" ht="16.5" x14ac:dyDescent="0.25">
      <c r="C336" s="54"/>
      <c r="D336" s="53"/>
      <c r="E336" s="107"/>
      <c r="F336" s="49"/>
      <c r="G336" s="21"/>
      <c r="H336" s="21"/>
    </row>
    <row r="337" spans="3:8" ht="16.5" x14ac:dyDescent="0.25">
      <c r="C337" s="54"/>
      <c r="D337" s="53"/>
      <c r="E337" s="107"/>
      <c r="F337" s="49"/>
      <c r="G337" s="21"/>
      <c r="H337" s="21"/>
    </row>
    <row r="338" spans="3:8" ht="16.5" x14ac:dyDescent="0.25">
      <c r="C338" s="54"/>
      <c r="D338" s="53"/>
      <c r="E338" s="107"/>
      <c r="F338" s="49"/>
      <c r="G338" s="21"/>
      <c r="H338" s="21"/>
    </row>
    <row r="339" spans="3:8" ht="16.5" x14ac:dyDescent="0.25">
      <c r="C339" s="54"/>
      <c r="D339" s="53"/>
      <c r="E339" s="107"/>
      <c r="F339" s="49"/>
      <c r="G339" s="21"/>
      <c r="H339" s="21"/>
    </row>
    <row r="340" spans="3:8" ht="16.5" x14ac:dyDescent="0.25">
      <c r="C340" s="54"/>
      <c r="D340" s="53"/>
      <c r="E340" s="107"/>
      <c r="F340" s="49"/>
      <c r="G340" s="21"/>
      <c r="H340" s="21"/>
    </row>
    <row r="341" spans="3:8" ht="16.5" x14ac:dyDescent="0.25">
      <c r="C341" s="54"/>
      <c r="D341" s="53"/>
      <c r="E341" s="107"/>
      <c r="F341" s="49"/>
      <c r="G341" s="21"/>
      <c r="H341" s="21"/>
    </row>
    <row r="342" spans="3:8" ht="16.5" x14ac:dyDescent="0.25">
      <c r="C342" s="54"/>
      <c r="D342" s="53"/>
      <c r="E342" s="107"/>
      <c r="F342" s="49"/>
      <c r="G342" s="21"/>
      <c r="H342" s="21"/>
    </row>
    <row r="343" spans="3:8" ht="16.5" x14ac:dyDescent="0.25">
      <c r="C343" s="54"/>
      <c r="D343" s="53"/>
      <c r="E343" s="107"/>
      <c r="F343" s="49"/>
      <c r="G343" s="21"/>
      <c r="H343" s="21"/>
    </row>
    <row r="344" spans="3:8" ht="16.5" x14ac:dyDescent="0.25">
      <c r="C344" s="54"/>
      <c r="D344" s="53"/>
      <c r="E344" s="107"/>
      <c r="F344" s="49"/>
      <c r="G344" s="21"/>
      <c r="H344" s="21"/>
    </row>
    <row r="345" spans="3:8" ht="16.5" x14ac:dyDescent="0.25">
      <c r="C345" s="54"/>
      <c r="D345" s="53"/>
      <c r="E345" s="107"/>
      <c r="F345" s="49"/>
      <c r="G345" s="21"/>
      <c r="H345" s="21"/>
    </row>
    <row r="346" spans="3:8" ht="16.5" x14ac:dyDescent="0.25">
      <c r="C346" s="54"/>
      <c r="D346" s="53"/>
      <c r="E346" s="107"/>
      <c r="F346" s="49"/>
      <c r="G346" s="21"/>
      <c r="H346" s="21"/>
    </row>
    <row r="347" spans="3:8" ht="16.5" x14ac:dyDescent="0.25">
      <c r="C347" s="54"/>
      <c r="D347" s="53"/>
      <c r="E347" s="107"/>
      <c r="F347" s="49"/>
      <c r="G347" s="21"/>
      <c r="H347" s="21"/>
    </row>
    <row r="348" spans="3:8" ht="16.5" x14ac:dyDescent="0.25">
      <c r="C348" s="54"/>
      <c r="D348" s="53"/>
      <c r="E348" s="107"/>
      <c r="F348" s="49"/>
      <c r="G348" s="21"/>
      <c r="H348" s="21"/>
    </row>
    <row r="349" spans="3:8" ht="16.5" x14ac:dyDescent="0.25">
      <c r="C349" s="54"/>
      <c r="D349" s="53"/>
      <c r="E349" s="107"/>
      <c r="F349" s="49"/>
      <c r="G349" s="21"/>
      <c r="H349" s="21"/>
    </row>
    <row r="350" spans="3:8" ht="16.5" x14ac:dyDescent="0.25">
      <c r="C350" s="54"/>
      <c r="D350" s="53"/>
      <c r="E350" s="107"/>
      <c r="F350" s="49"/>
      <c r="G350" s="21"/>
      <c r="H350" s="21"/>
    </row>
    <row r="351" spans="3:8" ht="16.5" x14ac:dyDescent="0.25">
      <c r="C351" s="54"/>
      <c r="D351" s="53"/>
      <c r="E351" s="107"/>
      <c r="F351" s="49"/>
      <c r="G351" s="21"/>
      <c r="H351" s="21"/>
    </row>
    <row r="352" spans="3:8" ht="16.5" x14ac:dyDescent="0.25">
      <c r="C352" s="54"/>
      <c r="D352" s="53"/>
      <c r="E352" s="107"/>
      <c r="F352" s="49"/>
      <c r="G352" s="21"/>
      <c r="H352" s="21"/>
    </row>
    <row r="353" spans="3:8" ht="16.5" x14ac:dyDescent="0.25">
      <c r="C353" s="54"/>
      <c r="D353" s="53"/>
      <c r="E353" s="107"/>
      <c r="F353" s="49"/>
      <c r="G353" s="21"/>
      <c r="H353" s="21"/>
    </row>
    <row r="354" spans="3:8" ht="16.5" x14ac:dyDescent="0.25">
      <c r="C354" s="54"/>
      <c r="D354" s="53"/>
      <c r="E354" s="107"/>
      <c r="F354" s="49"/>
      <c r="G354" s="21"/>
      <c r="H354" s="21"/>
    </row>
    <row r="355" spans="3:8" ht="16.5" x14ac:dyDescent="0.25">
      <c r="C355" s="54"/>
      <c r="D355" s="53"/>
      <c r="E355" s="107"/>
      <c r="F355" s="49"/>
      <c r="G355" s="21"/>
      <c r="H355" s="21"/>
    </row>
    <row r="356" spans="3:8" ht="16.5" x14ac:dyDescent="0.25">
      <c r="C356" s="54"/>
      <c r="D356" s="53"/>
      <c r="E356" s="107"/>
      <c r="F356" s="49"/>
      <c r="G356" s="21"/>
      <c r="H356" s="21"/>
    </row>
    <row r="357" spans="3:8" ht="16.5" x14ac:dyDescent="0.25">
      <c r="C357" s="54"/>
      <c r="D357" s="53"/>
      <c r="E357" s="107"/>
      <c r="F357" s="49"/>
      <c r="G357" s="21"/>
      <c r="H357" s="21"/>
    </row>
    <row r="358" spans="3:8" ht="16.5" x14ac:dyDescent="0.25">
      <c r="C358" s="54"/>
      <c r="D358" s="53"/>
      <c r="E358" s="107"/>
      <c r="F358" s="49"/>
      <c r="G358" s="21"/>
      <c r="H358" s="21"/>
    </row>
    <row r="359" spans="3:8" ht="16.5" x14ac:dyDescent="0.25">
      <c r="C359" s="54"/>
      <c r="D359" s="53"/>
      <c r="E359" s="107"/>
      <c r="F359" s="49"/>
      <c r="G359" s="21"/>
      <c r="H359" s="21"/>
    </row>
    <row r="360" spans="3:8" ht="16.5" x14ac:dyDescent="0.25">
      <c r="C360" s="54"/>
      <c r="D360" s="53"/>
      <c r="E360" s="107"/>
      <c r="F360" s="49"/>
      <c r="G360" s="21"/>
      <c r="H360" s="21"/>
    </row>
    <row r="361" spans="3:8" ht="16.5" x14ac:dyDescent="0.25">
      <c r="C361" s="54"/>
      <c r="D361" s="53"/>
      <c r="E361" s="107"/>
      <c r="F361" s="49"/>
      <c r="G361" s="21"/>
      <c r="H361" s="21"/>
    </row>
    <row r="362" spans="3:8" ht="16.5" x14ac:dyDescent="0.25">
      <c r="C362" s="54"/>
      <c r="D362" s="53"/>
      <c r="E362" s="107"/>
      <c r="F362" s="49"/>
      <c r="G362" s="21"/>
      <c r="H362" s="21"/>
    </row>
    <row r="363" spans="3:8" ht="16.5" x14ac:dyDescent="0.25">
      <c r="C363" s="54"/>
      <c r="D363" s="53"/>
      <c r="E363" s="107"/>
      <c r="F363" s="49"/>
      <c r="G363" s="21"/>
      <c r="H363" s="21"/>
    </row>
    <row r="364" spans="3:8" ht="16.5" x14ac:dyDescent="0.25">
      <c r="C364" s="54"/>
      <c r="D364" s="53"/>
      <c r="E364" s="107"/>
      <c r="F364" s="49"/>
      <c r="G364" s="21"/>
      <c r="H364" s="21"/>
    </row>
    <row r="365" spans="3:8" ht="16.5" x14ac:dyDescent="0.25">
      <c r="C365" s="54"/>
      <c r="D365" s="53"/>
      <c r="E365" s="107"/>
      <c r="F365" s="49"/>
      <c r="G365" s="21"/>
      <c r="H365" s="21"/>
    </row>
    <row r="366" spans="3:8" ht="16.5" x14ac:dyDescent="0.25">
      <c r="C366" s="54"/>
      <c r="D366" s="53"/>
      <c r="E366" s="107"/>
      <c r="F366" s="49"/>
      <c r="G366" s="21"/>
      <c r="H366" s="21"/>
    </row>
    <row r="367" spans="3:8" ht="16.5" x14ac:dyDescent="0.25">
      <c r="C367" s="54"/>
      <c r="D367" s="53"/>
      <c r="E367" s="107"/>
      <c r="F367" s="49"/>
      <c r="G367" s="21"/>
      <c r="H367" s="21"/>
    </row>
    <row r="368" spans="3:8" ht="16.5" x14ac:dyDescent="0.25">
      <c r="C368" s="54"/>
      <c r="D368" s="53"/>
      <c r="E368" s="107"/>
      <c r="F368" s="49"/>
      <c r="G368" s="21"/>
      <c r="H368" s="21"/>
    </row>
    <row r="369" spans="3:8" ht="16.5" x14ac:dyDescent="0.25">
      <c r="C369" s="54"/>
      <c r="D369" s="53"/>
      <c r="E369" s="107"/>
      <c r="F369" s="49"/>
      <c r="G369" s="21"/>
      <c r="H369" s="21"/>
    </row>
    <row r="370" spans="3:8" ht="16.5" x14ac:dyDescent="0.25">
      <c r="C370" s="54"/>
      <c r="D370" s="53"/>
      <c r="E370" s="107"/>
      <c r="F370" s="49"/>
      <c r="G370" s="21"/>
      <c r="H370" s="21"/>
    </row>
    <row r="371" spans="3:8" ht="16.5" x14ac:dyDescent="0.25">
      <c r="C371" s="54"/>
      <c r="D371" s="53"/>
      <c r="E371" s="107"/>
      <c r="F371" s="49"/>
      <c r="G371" s="21"/>
      <c r="H371" s="21"/>
    </row>
    <row r="372" spans="3:8" ht="16.5" x14ac:dyDescent="0.25">
      <c r="C372" s="54"/>
      <c r="D372" s="53"/>
      <c r="E372" s="107"/>
      <c r="F372" s="49"/>
      <c r="G372" s="21"/>
      <c r="H372" s="21"/>
    </row>
    <row r="373" spans="3:8" ht="16.5" x14ac:dyDescent="0.25">
      <c r="C373" s="54"/>
      <c r="D373" s="53"/>
      <c r="E373" s="107"/>
      <c r="F373" s="49"/>
      <c r="G373" s="21"/>
      <c r="H373" s="21"/>
    </row>
    <row r="374" spans="3:8" ht="16.5" x14ac:dyDescent="0.25">
      <c r="C374" s="54"/>
      <c r="D374" s="53"/>
      <c r="E374" s="107"/>
      <c r="F374" s="49"/>
      <c r="G374" s="21"/>
      <c r="H374" s="21"/>
    </row>
    <row r="375" spans="3:8" ht="16.5" x14ac:dyDescent="0.25">
      <c r="C375" s="54"/>
      <c r="D375" s="53"/>
      <c r="E375" s="107"/>
      <c r="F375" s="49"/>
      <c r="G375" s="21"/>
      <c r="H375" s="21"/>
    </row>
    <row r="376" spans="3:8" ht="16.5" x14ac:dyDescent="0.25">
      <c r="C376" s="54"/>
      <c r="D376" s="53"/>
      <c r="E376" s="107"/>
      <c r="F376" s="49"/>
      <c r="G376" s="21"/>
      <c r="H376" s="21"/>
    </row>
    <row r="377" spans="3:8" ht="16.5" x14ac:dyDescent="0.25">
      <c r="C377" s="54"/>
      <c r="D377" s="53"/>
      <c r="E377" s="107"/>
      <c r="F377" s="49"/>
      <c r="G377" s="21"/>
      <c r="H377" s="21"/>
    </row>
    <row r="378" spans="3:8" ht="16.5" x14ac:dyDescent="0.25">
      <c r="C378" s="54"/>
      <c r="D378" s="53"/>
      <c r="E378" s="107"/>
      <c r="F378" s="49"/>
      <c r="G378" s="21"/>
      <c r="H378" s="21"/>
    </row>
    <row r="379" spans="3:8" ht="16.5" x14ac:dyDescent="0.25">
      <c r="C379" s="54"/>
      <c r="D379" s="53"/>
      <c r="E379" s="107"/>
      <c r="F379" s="49"/>
      <c r="G379" s="21"/>
      <c r="H379" s="21"/>
    </row>
    <row r="380" spans="3:8" ht="16.5" x14ac:dyDescent="0.25">
      <c r="C380" s="54"/>
      <c r="D380" s="53"/>
      <c r="E380" s="107"/>
      <c r="F380" s="49"/>
      <c r="G380" s="21"/>
      <c r="H380" s="21"/>
    </row>
    <row r="381" spans="3:8" ht="16.5" x14ac:dyDescent="0.25">
      <c r="C381" s="54"/>
      <c r="D381" s="53"/>
      <c r="E381" s="107"/>
      <c r="F381" s="49"/>
      <c r="G381" s="21"/>
      <c r="H381" s="21"/>
    </row>
    <row r="382" spans="3:8" ht="16.5" x14ac:dyDescent="0.25">
      <c r="C382" s="54"/>
      <c r="D382" s="53"/>
      <c r="E382" s="107"/>
      <c r="F382" s="49"/>
      <c r="G382" s="21"/>
      <c r="H382" s="21"/>
    </row>
    <row r="383" spans="3:8" ht="16.5" x14ac:dyDescent="0.25">
      <c r="C383" s="54"/>
      <c r="D383" s="53"/>
      <c r="E383" s="107"/>
      <c r="F383" s="49"/>
      <c r="G383" s="21"/>
      <c r="H383" s="21"/>
    </row>
    <row r="384" spans="3:8" ht="16.5" x14ac:dyDescent="0.25">
      <c r="C384" s="54"/>
      <c r="D384" s="53"/>
      <c r="E384" s="107"/>
      <c r="F384" s="49"/>
      <c r="G384" s="21"/>
      <c r="H384" s="21"/>
    </row>
    <row r="385" spans="3:8" ht="16.5" x14ac:dyDescent="0.25">
      <c r="C385" s="54"/>
      <c r="D385" s="53"/>
      <c r="E385" s="107"/>
      <c r="F385" s="49"/>
      <c r="G385" s="21"/>
      <c r="H385" s="21"/>
    </row>
    <row r="386" spans="3:8" ht="16.5" x14ac:dyDescent="0.25">
      <c r="C386" s="54"/>
      <c r="D386" s="53"/>
      <c r="E386" s="107"/>
      <c r="F386" s="49"/>
      <c r="G386" s="21"/>
      <c r="H386" s="21"/>
    </row>
    <row r="387" spans="3:8" ht="16.5" x14ac:dyDescent="0.25">
      <c r="C387" s="54"/>
      <c r="D387" s="53"/>
      <c r="E387" s="107"/>
      <c r="F387" s="49"/>
      <c r="G387" s="21"/>
      <c r="H387" s="21"/>
    </row>
    <row r="388" spans="3:8" ht="16.5" x14ac:dyDescent="0.25">
      <c r="C388" s="54"/>
      <c r="D388" s="53"/>
      <c r="E388" s="107"/>
      <c r="F388" s="49"/>
      <c r="G388" s="21"/>
      <c r="H388" s="21"/>
    </row>
    <row r="389" spans="3:8" ht="16.5" x14ac:dyDescent="0.25">
      <c r="C389" s="54"/>
      <c r="D389" s="53"/>
      <c r="E389" s="107"/>
      <c r="F389" s="49"/>
      <c r="G389" s="21"/>
      <c r="H389" s="21"/>
    </row>
    <row r="390" spans="3:8" ht="16.5" x14ac:dyDescent="0.25">
      <c r="C390" s="54"/>
      <c r="D390" s="53"/>
      <c r="E390" s="107"/>
      <c r="F390" s="49"/>
      <c r="G390" s="21"/>
      <c r="H390" s="21"/>
    </row>
    <row r="391" spans="3:8" ht="16.5" x14ac:dyDescent="0.25">
      <c r="C391" s="54"/>
      <c r="D391" s="53"/>
      <c r="E391" s="107"/>
      <c r="F391" s="49"/>
      <c r="G391" s="21"/>
      <c r="H391" s="21"/>
    </row>
    <row r="392" spans="3:8" ht="16.5" x14ac:dyDescent="0.25">
      <c r="C392" s="54"/>
      <c r="D392" s="53"/>
      <c r="E392" s="107"/>
      <c r="F392" s="49"/>
      <c r="G392" s="21"/>
      <c r="H392" s="21"/>
    </row>
    <row r="393" spans="3:8" ht="16.5" x14ac:dyDescent="0.25">
      <c r="C393" s="54"/>
      <c r="D393" s="53"/>
      <c r="E393" s="107"/>
      <c r="F393" s="49"/>
      <c r="G393" s="21"/>
      <c r="H393" s="21"/>
    </row>
    <row r="394" spans="3:8" ht="16.5" x14ac:dyDescent="0.25">
      <c r="C394" s="54"/>
      <c r="D394" s="53"/>
      <c r="E394" s="107"/>
      <c r="F394" s="49"/>
      <c r="G394" s="21"/>
      <c r="H394" s="21"/>
    </row>
    <row r="395" spans="3:8" ht="16.5" x14ac:dyDescent="0.25">
      <c r="C395" s="54"/>
      <c r="D395" s="53"/>
      <c r="E395" s="107"/>
      <c r="F395" s="49"/>
      <c r="G395" s="21"/>
      <c r="H395" s="21"/>
    </row>
    <row r="396" spans="3:8" ht="16.5" x14ac:dyDescent="0.25">
      <c r="C396" s="54"/>
      <c r="D396" s="53"/>
      <c r="E396" s="107"/>
      <c r="F396" s="49"/>
      <c r="G396" s="21"/>
      <c r="H396" s="21"/>
    </row>
    <row r="397" spans="3:8" ht="16.5" x14ac:dyDescent="0.25">
      <c r="C397" s="54"/>
      <c r="D397" s="53"/>
      <c r="E397" s="107"/>
      <c r="F397" s="49"/>
      <c r="G397" s="21"/>
      <c r="H397" s="21"/>
    </row>
    <row r="398" spans="3:8" ht="16.5" x14ac:dyDescent="0.25">
      <c r="C398" s="54"/>
      <c r="D398" s="53"/>
      <c r="E398" s="107"/>
      <c r="F398" s="49"/>
      <c r="G398" s="21"/>
      <c r="H398" s="21"/>
    </row>
    <row r="399" spans="3:8" ht="16.5" x14ac:dyDescent="0.25">
      <c r="C399" s="54"/>
      <c r="D399" s="53"/>
      <c r="E399" s="107"/>
      <c r="F399" s="49"/>
      <c r="G399" s="21"/>
      <c r="H399" s="21"/>
    </row>
    <row r="400" spans="3:8" ht="16.5" x14ac:dyDescent="0.25">
      <c r="C400" s="54"/>
      <c r="D400" s="53"/>
      <c r="E400" s="107"/>
      <c r="F400" s="49"/>
      <c r="G400" s="21"/>
      <c r="H400" s="21"/>
    </row>
    <row r="401" spans="3:8" ht="16.5" x14ac:dyDescent="0.25">
      <c r="C401" s="54"/>
      <c r="D401" s="53"/>
      <c r="E401" s="107"/>
      <c r="F401" s="49"/>
      <c r="G401" s="21"/>
      <c r="H401" s="21"/>
    </row>
    <row r="402" spans="3:8" ht="16.5" x14ac:dyDescent="0.25">
      <c r="C402" s="54"/>
      <c r="D402" s="53"/>
      <c r="E402" s="107"/>
      <c r="F402" s="49"/>
      <c r="G402" s="21"/>
      <c r="H402" s="21"/>
    </row>
    <row r="403" spans="3:8" ht="16.5" x14ac:dyDescent="0.25">
      <c r="C403" s="54"/>
      <c r="D403" s="53"/>
      <c r="E403" s="107"/>
      <c r="F403" s="49"/>
      <c r="G403" s="21"/>
      <c r="H403" s="21"/>
    </row>
    <row r="404" spans="3:8" ht="16.5" x14ac:dyDescent="0.25">
      <c r="C404" s="54"/>
      <c r="D404" s="53"/>
      <c r="E404" s="107"/>
      <c r="F404" s="49"/>
      <c r="G404" s="21"/>
      <c r="H404" s="21"/>
    </row>
    <row r="405" spans="3:8" ht="16.5" x14ac:dyDescent="0.25">
      <c r="C405" s="54"/>
      <c r="D405" s="53"/>
      <c r="E405" s="107"/>
      <c r="F405" s="49"/>
      <c r="G405" s="21"/>
      <c r="H405" s="21"/>
    </row>
    <row r="406" spans="3:8" ht="16.5" x14ac:dyDescent="0.25">
      <c r="C406" s="54"/>
      <c r="D406" s="53"/>
      <c r="E406" s="107"/>
      <c r="F406" s="49"/>
      <c r="G406" s="21"/>
      <c r="H406" s="21"/>
    </row>
    <row r="407" spans="3:8" ht="16.5" x14ac:dyDescent="0.25">
      <c r="C407" s="54"/>
      <c r="D407" s="53"/>
      <c r="E407" s="107"/>
      <c r="F407" s="49"/>
      <c r="G407" s="21"/>
      <c r="H407" s="21"/>
    </row>
    <row r="408" spans="3:8" ht="16.5" x14ac:dyDescent="0.25">
      <c r="C408" s="54"/>
      <c r="D408" s="53"/>
      <c r="E408" s="107"/>
      <c r="F408" s="49"/>
      <c r="G408" s="21"/>
      <c r="H408" s="21"/>
    </row>
    <row r="409" spans="3:8" ht="16.5" x14ac:dyDescent="0.25">
      <c r="C409" s="54"/>
      <c r="D409" s="53"/>
      <c r="E409" s="107"/>
      <c r="F409" s="49"/>
      <c r="G409" s="21"/>
      <c r="H409" s="21"/>
    </row>
    <row r="410" spans="3:8" ht="16.5" x14ac:dyDescent="0.25">
      <c r="C410" s="54"/>
      <c r="D410" s="53"/>
      <c r="E410" s="107"/>
      <c r="F410" s="49"/>
      <c r="G410" s="21"/>
      <c r="H410" s="21"/>
    </row>
    <row r="411" spans="3:8" ht="16.5" x14ac:dyDescent="0.25">
      <c r="C411" s="54"/>
      <c r="D411" s="53"/>
      <c r="E411" s="107"/>
      <c r="F411" s="49"/>
      <c r="G411" s="21"/>
      <c r="H411" s="21"/>
    </row>
    <row r="412" spans="3:8" ht="16.5" x14ac:dyDescent="0.25">
      <c r="C412" s="54"/>
      <c r="D412" s="53"/>
      <c r="E412" s="107"/>
      <c r="F412" s="49"/>
      <c r="G412" s="21"/>
      <c r="H412" s="21"/>
    </row>
    <row r="413" spans="3:8" ht="16.5" x14ac:dyDescent="0.25">
      <c r="C413" s="54"/>
      <c r="D413" s="53"/>
      <c r="E413" s="107"/>
      <c r="F413" s="49"/>
      <c r="G413" s="21"/>
      <c r="H413" s="21"/>
    </row>
    <row r="414" spans="3:8" ht="16.5" x14ac:dyDescent="0.25">
      <c r="C414" s="54"/>
      <c r="D414" s="53"/>
      <c r="E414" s="107"/>
      <c r="F414" s="49"/>
      <c r="G414" s="21"/>
      <c r="H414" s="21"/>
    </row>
    <row r="415" spans="3:8" ht="16.5" x14ac:dyDescent="0.25">
      <c r="C415" s="54"/>
      <c r="D415" s="53"/>
      <c r="E415" s="107"/>
      <c r="F415" s="49"/>
      <c r="G415" s="21"/>
      <c r="H415" s="21"/>
    </row>
    <row r="416" spans="3:8" ht="16.5" x14ac:dyDescent="0.25">
      <c r="C416" s="54"/>
      <c r="D416" s="53"/>
      <c r="E416" s="107"/>
      <c r="F416" s="49"/>
      <c r="G416" s="21"/>
      <c r="H416" s="21"/>
    </row>
    <row r="417" spans="3:8" ht="16.5" x14ac:dyDescent="0.25">
      <c r="C417" s="54"/>
      <c r="D417" s="53"/>
      <c r="E417" s="107"/>
      <c r="F417" s="49"/>
      <c r="G417" s="21"/>
      <c r="H417" s="21"/>
    </row>
    <row r="418" spans="3:8" ht="16.5" x14ac:dyDescent="0.25">
      <c r="C418" s="54"/>
      <c r="D418" s="53"/>
      <c r="E418" s="107"/>
      <c r="F418" s="49"/>
      <c r="G418" s="21"/>
      <c r="H418" s="21"/>
    </row>
    <row r="419" spans="3:8" ht="16.5" x14ac:dyDescent="0.25">
      <c r="C419" s="54"/>
      <c r="D419" s="53"/>
      <c r="E419" s="107"/>
      <c r="F419" s="49"/>
      <c r="G419" s="21"/>
      <c r="H419" s="21"/>
    </row>
    <row r="420" spans="3:8" ht="16.5" x14ac:dyDescent="0.25">
      <c r="C420" s="54"/>
      <c r="D420" s="53"/>
      <c r="E420" s="107"/>
      <c r="F420" s="49"/>
      <c r="G420" s="21"/>
      <c r="H420" s="21"/>
    </row>
    <row r="421" spans="3:8" ht="16.5" x14ac:dyDescent="0.25">
      <c r="C421" s="54"/>
      <c r="D421" s="53"/>
      <c r="E421" s="107"/>
      <c r="F421" s="49"/>
      <c r="G421" s="21"/>
      <c r="H421" s="21"/>
    </row>
    <row r="422" spans="3:8" ht="16.5" x14ac:dyDescent="0.25">
      <c r="C422" s="54"/>
      <c r="D422" s="53"/>
      <c r="E422" s="107"/>
      <c r="F422" s="49"/>
      <c r="G422" s="21"/>
      <c r="H422" s="21"/>
    </row>
    <row r="423" spans="3:8" ht="16.5" x14ac:dyDescent="0.25">
      <c r="C423" s="54"/>
      <c r="D423" s="53"/>
      <c r="E423" s="107"/>
      <c r="F423" s="49"/>
      <c r="G423" s="21"/>
      <c r="H423" s="21"/>
    </row>
    <row r="424" spans="3:8" ht="16.5" x14ac:dyDescent="0.25">
      <c r="C424" s="54"/>
      <c r="D424" s="53"/>
      <c r="E424" s="107"/>
      <c r="F424" s="49"/>
      <c r="G424" s="21"/>
      <c r="H424" s="21"/>
    </row>
    <row r="425" spans="3:8" ht="16.5" x14ac:dyDescent="0.25">
      <c r="C425" s="54"/>
      <c r="D425" s="53"/>
      <c r="E425" s="107"/>
      <c r="F425" s="49"/>
      <c r="G425" s="21"/>
      <c r="H425" s="21"/>
    </row>
    <row r="426" spans="3:8" ht="16.5" x14ac:dyDescent="0.25">
      <c r="C426" s="54"/>
      <c r="D426" s="53"/>
      <c r="E426" s="107"/>
      <c r="F426" s="49"/>
      <c r="G426" s="21"/>
      <c r="H426" s="21"/>
    </row>
    <row r="427" spans="3:8" ht="16.5" x14ac:dyDescent="0.25">
      <c r="C427" s="54"/>
      <c r="D427" s="53"/>
      <c r="E427" s="107"/>
      <c r="F427" s="49"/>
      <c r="G427" s="21"/>
      <c r="H427" s="21"/>
    </row>
    <row r="428" spans="3:8" ht="16.5" x14ac:dyDescent="0.25">
      <c r="C428" s="54"/>
      <c r="D428" s="53"/>
      <c r="E428" s="107"/>
      <c r="F428" s="49"/>
      <c r="G428" s="21"/>
      <c r="H428" s="21"/>
    </row>
    <row r="429" spans="3:8" ht="16.5" x14ac:dyDescent="0.25">
      <c r="C429" s="54"/>
      <c r="D429" s="53"/>
      <c r="E429" s="107"/>
      <c r="F429" s="49"/>
      <c r="G429" s="21"/>
      <c r="H429" s="21"/>
    </row>
    <row r="430" spans="3:8" ht="16.5" x14ac:dyDescent="0.25">
      <c r="C430" s="54"/>
      <c r="D430" s="53"/>
      <c r="E430" s="107"/>
      <c r="F430" s="49"/>
      <c r="G430" s="21"/>
      <c r="H430" s="21"/>
    </row>
    <row r="431" spans="3:8" ht="16.5" x14ac:dyDescent="0.25">
      <c r="C431" s="54"/>
      <c r="D431" s="53"/>
      <c r="E431" s="107"/>
      <c r="F431" s="49"/>
      <c r="G431" s="21"/>
      <c r="H431" s="21"/>
    </row>
    <row r="432" spans="3:8" ht="16.5" x14ac:dyDescent="0.25">
      <c r="C432" s="54"/>
      <c r="D432" s="53"/>
      <c r="E432" s="107"/>
      <c r="F432" s="49"/>
      <c r="G432" s="21"/>
      <c r="H432" s="21"/>
    </row>
    <row r="433" spans="3:8" ht="16.5" x14ac:dyDescent="0.25">
      <c r="C433" s="54"/>
      <c r="D433" s="53"/>
      <c r="E433" s="107"/>
      <c r="F433" s="49"/>
      <c r="G433" s="21"/>
      <c r="H433" s="21"/>
    </row>
    <row r="434" spans="3:8" ht="16.5" x14ac:dyDescent="0.25">
      <c r="C434" s="54"/>
      <c r="D434" s="53"/>
      <c r="E434" s="107"/>
      <c r="F434" s="49"/>
      <c r="G434" s="21"/>
      <c r="H434" s="21"/>
    </row>
    <row r="435" spans="3:8" ht="16.5" x14ac:dyDescent="0.25">
      <c r="C435" s="54"/>
      <c r="D435" s="53"/>
      <c r="E435" s="107"/>
      <c r="F435" s="49"/>
      <c r="G435" s="21"/>
      <c r="H435" s="21"/>
    </row>
    <row r="436" spans="3:8" ht="16.5" x14ac:dyDescent="0.25">
      <c r="C436" s="54"/>
      <c r="D436" s="53"/>
      <c r="E436" s="107"/>
      <c r="F436" s="49"/>
      <c r="G436" s="21"/>
      <c r="H436" s="21"/>
    </row>
    <row r="437" spans="3:8" ht="16.5" x14ac:dyDescent="0.25">
      <c r="C437" s="54"/>
      <c r="D437" s="53"/>
      <c r="E437" s="109"/>
      <c r="F437" s="49"/>
      <c r="G437" s="21"/>
      <c r="H437" s="21"/>
    </row>
    <row r="438" spans="3:8" ht="16.5" x14ac:dyDescent="0.25">
      <c r="C438" s="54"/>
      <c r="D438" s="53"/>
      <c r="E438" s="109"/>
      <c r="F438" s="49"/>
      <c r="G438" s="21"/>
      <c r="H438" s="21"/>
    </row>
    <row r="439" spans="3:8" ht="16.5" x14ac:dyDescent="0.25">
      <c r="C439" s="54"/>
      <c r="D439" s="53"/>
      <c r="E439" s="109"/>
      <c r="F439" s="49"/>
      <c r="G439" s="21"/>
      <c r="H439" s="21"/>
    </row>
    <row r="440" spans="3:8" ht="16.5" x14ac:dyDescent="0.25">
      <c r="C440" s="54"/>
      <c r="D440" s="53"/>
      <c r="E440" s="109"/>
      <c r="F440" s="49"/>
      <c r="G440" s="21"/>
      <c r="H440" s="21"/>
    </row>
    <row r="441" spans="3:8" ht="16.5" x14ac:dyDescent="0.25">
      <c r="C441" s="54"/>
      <c r="D441" s="53"/>
      <c r="E441" s="109"/>
      <c r="F441" s="49"/>
      <c r="G441" s="21"/>
      <c r="H441" s="21"/>
    </row>
    <row r="442" spans="3:8" ht="16.5" x14ac:dyDescent="0.25">
      <c r="C442" s="54"/>
      <c r="D442" s="53"/>
      <c r="E442" s="109"/>
      <c r="F442" s="49"/>
      <c r="G442" s="21"/>
      <c r="H442" s="21"/>
    </row>
    <row r="443" spans="3:8" ht="16.5" x14ac:dyDescent="0.25">
      <c r="C443" s="54"/>
      <c r="D443" s="53"/>
      <c r="E443" s="109"/>
      <c r="F443" s="49"/>
      <c r="G443" s="21"/>
      <c r="H443" s="21"/>
    </row>
    <row r="444" spans="3:8" ht="16.5" x14ac:dyDescent="0.25">
      <c r="C444" s="54"/>
      <c r="D444" s="53"/>
      <c r="E444" s="109"/>
      <c r="F444" s="49"/>
      <c r="G444" s="21"/>
      <c r="H444" s="21"/>
    </row>
    <row r="445" spans="3:8" ht="16.5" x14ac:dyDescent="0.25">
      <c r="C445" s="54"/>
      <c r="D445" s="53"/>
      <c r="E445" s="109"/>
      <c r="F445" s="49"/>
      <c r="G445" s="21"/>
      <c r="H445" s="21"/>
    </row>
    <row r="446" spans="3:8" ht="16.5" x14ac:dyDescent="0.25">
      <c r="C446" s="54"/>
      <c r="D446" s="53"/>
      <c r="E446" s="109"/>
      <c r="F446" s="49"/>
      <c r="G446" s="21"/>
      <c r="H446" s="21"/>
    </row>
    <row r="447" spans="3:8" ht="16.5" x14ac:dyDescent="0.25">
      <c r="C447" s="54"/>
      <c r="D447" s="53"/>
      <c r="E447" s="109"/>
      <c r="F447" s="49"/>
      <c r="G447" s="21"/>
      <c r="H447" s="21"/>
    </row>
    <row r="448" spans="3:8" ht="16.5" x14ac:dyDescent="0.25">
      <c r="C448" s="54"/>
      <c r="D448" s="53"/>
      <c r="E448" s="109"/>
      <c r="F448" s="49"/>
      <c r="G448" s="21"/>
      <c r="H448" s="21"/>
    </row>
    <row r="449" spans="3:8" ht="16.5" x14ac:dyDescent="0.25">
      <c r="C449" s="54"/>
      <c r="D449" s="53"/>
      <c r="E449" s="109"/>
      <c r="F449" s="49"/>
      <c r="G449" s="21"/>
      <c r="H449" s="21"/>
    </row>
    <row r="450" spans="3:8" ht="16.5" x14ac:dyDescent="0.25">
      <c r="C450" s="54"/>
      <c r="D450" s="53"/>
      <c r="E450" s="109"/>
      <c r="F450" s="49"/>
      <c r="G450" s="21"/>
      <c r="H450" s="21"/>
    </row>
    <row r="451" spans="3:8" ht="16.5" x14ac:dyDescent="0.25">
      <c r="C451" s="54"/>
      <c r="D451" s="53"/>
      <c r="E451" s="109"/>
      <c r="F451" s="49"/>
      <c r="G451" s="21"/>
      <c r="H451" s="21"/>
    </row>
    <row r="452" spans="3:8" ht="16.5" x14ac:dyDescent="0.25">
      <c r="C452" s="54"/>
      <c r="D452" s="53"/>
      <c r="E452" s="109"/>
      <c r="F452" s="49"/>
      <c r="G452" s="21"/>
      <c r="H452" s="21"/>
    </row>
    <row r="453" spans="3:8" ht="16.5" x14ac:dyDescent="0.25">
      <c r="C453" s="54"/>
      <c r="D453" s="53"/>
      <c r="E453" s="109"/>
      <c r="F453" s="49"/>
      <c r="G453" s="21"/>
      <c r="H453" s="21"/>
    </row>
    <row r="454" spans="3:8" ht="16.5" x14ac:dyDescent="0.25">
      <c r="C454" s="54"/>
      <c r="D454" s="53"/>
      <c r="E454" s="109"/>
      <c r="F454" s="49"/>
      <c r="G454" s="21"/>
      <c r="H454" s="21"/>
    </row>
    <row r="455" spans="3:8" ht="16.5" x14ac:dyDescent="0.25">
      <c r="C455" s="54"/>
      <c r="D455" s="53"/>
      <c r="E455" s="109"/>
      <c r="F455" s="49"/>
      <c r="G455" s="21"/>
      <c r="H455" s="21"/>
    </row>
    <row r="456" spans="3:8" ht="16.5" x14ac:dyDescent="0.25">
      <c r="C456" s="54"/>
      <c r="D456" s="53"/>
      <c r="E456" s="109"/>
      <c r="F456" s="49"/>
      <c r="G456" s="21"/>
      <c r="H456" s="21"/>
    </row>
    <row r="457" spans="3:8" ht="16.5" x14ac:dyDescent="0.25">
      <c r="C457" s="54"/>
      <c r="D457" s="53"/>
      <c r="E457" s="109"/>
      <c r="F457" s="49"/>
      <c r="G457" s="21"/>
      <c r="H457" s="21"/>
    </row>
    <row r="458" spans="3:8" ht="16.5" x14ac:dyDescent="0.25">
      <c r="C458" s="54"/>
      <c r="D458" s="53"/>
      <c r="E458" s="109"/>
      <c r="F458" s="49"/>
      <c r="G458" s="21"/>
      <c r="H458" s="21"/>
    </row>
    <row r="459" spans="3:8" ht="16.5" x14ac:dyDescent="0.25">
      <c r="C459" s="54"/>
      <c r="D459" s="53"/>
      <c r="E459" s="109"/>
      <c r="F459" s="49"/>
      <c r="G459" s="21"/>
      <c r="H459" s="21"/>
    </row>
    <row r="460" spans="3:8" ht="16.5" x14ac:dyDescent="0.25">
      <c r="C460" s="54"/>
      <c r="D460" s="53"/>
      <c r="E460" s="112"/>
      <c r="F460" s="49"/>
      <c r="G460" s="21"/>
      <c r="H460" s="21"/>
    </row>
    <row r="461" spans="3:8" ht="16.5" x14ac:dyDescent="0.25">
      <c r="C461" s="54"/>
      <c r="D461" s="53"/>
      <c r="E461" s="113"/>
      <c r="F461" s="49"/>
      <c r="G461" s="21"/>
      <c r="H461" s="21"/>
    </row>
    <row r="462" spans="3:8" ht="16.5" x14ac:dyDescent="0.25">
      <c r="C462" s="54"/>
      <c r="D462" s="53"/>
      <c r="E462" s="113"/>
      <c r="F462" s="49"/>
      <c r="G462" s="21"/>
      <c r="H462" s="21"/>
    </row>
    <row r="463" spans="3:8" ht="16.5" x14ac:dyDescent="0.25">
      <c r="C463" s="54"/>
      <c r="D463" s="53"/>
      <c r="E463" s="114"/>
      <c r="F463" s="49"/>
      <c r="G463" s="21"/>
      <c r="H463" s="21"/>
    </row>
    <row r="464" spans="3:8" ht="16.5" x14ac:dyDescent="0.25">
      <c r="C464" s="54"/>
      <c r="D464" s="53"/>
      <c r="E464" s="113"/>
      <c r="F464" s="49"/>
      <c r="G464" s="21"/>
      <c r="H464" s="21"/>
    </row>
    <row r="465" spans="3:8" ht="16.5" x14ac:dyDescent="0.25">
      <c r="C465" s="54"/>
      <c r="D465" s="53"/>
      <c r="E465" s="113"/>
      <c r="F465" s="49"/>
      <c r="G465" s="21"/>
      <c r="H465" s="21"/>
    </row>
    <row r="466" spans="3:8" ht="16.5" x14ac:dyDescent="0.25">
      <c r="C466" s="54"/>
      <c r="D466" s="53"/>
      <c r="E466" s="113"/>
      <c r="F466" s="49"/>
      <c r="G466" s="21"/>
      <c r="H466" s="21"/>
    </row>
    <row r="467" spans="3:8" ht="16.5" x14ac:dyDescent="0.25">
      <c r="C467" s="54"/>
      <c r="D467" s="53"/>
      <c r="E467" s="113"/>
      <c r="F467" s="49"/>
      <c r="G467" s="21"/>
      <c r="H467" s="21"/>
    </row>
    <row r="468" spans="3:8" ht="16.5" x14ac:dyDescent="0.25">
      <c r="C468" s="54"/>
      <c r="D468" s="53"/>
      <c r="E468" s="113"/>
      <c r="F468" s="49"/>
      <c r="G468" s="21"/>
      <c r="H468" s="21"/>
    </row>
    <row r="469" spans="3:8" ht="16.5" x14ac:dyDescent="0.25">
      <c r="C469" s="54"/>
      <c r="D469" s="53"/>
      <c r="E469" s="113"/>
      <c r="F469" s="49"/>
      <c r="G469" s="21"/>
      <c r="H469" s="21"/>
    </row>
    <row r="470" spans="3:8" ht="16.5" x14ac:dyDescent="0.25">
      <c r="C470" s="54"/>
      <c r="D470" s="53"/>
      <c r="E470" s="113"/>
      <c r="F470" s="49"/>
      <c r="G470" s="21"/>
      <c r="H470" s="21"/>
    </row>
    <row r="471" spans="3:8" ht="16.5" x14ac:dyDescent="0.25">
      <c r="C471" s="54"/>
      <c r="D471" s="53"/>
      <c r="E471" s="113"/>
      <c r="F471" s="49"/>
      <c r="G471" s="21"/>
      <c r="H471" s="21"/>
    </row>
    <row r="472" spans="3:8" ht="16.5" x14ac:dyDescent="0.25">
      <c r="C472" s="54"/>
      <c r="D472" s="53"/>
      <c r="E472" s="113"/>
      <c r="F472" s="49"/>
      <c r="G472" s="21"/>
      <c r="H472" s="21"/>
    </row>
    <row r="473" spans="3:8" ht="16.5" x14ac:dyDescent="0.25">
      <c r="C473" s="54"/>
      <c r="D473" s="53"/>
      <c r="E473" s="113"/>
      <c r="F473" s="49"/>
      <c r="G473" s="21"/>
      <c r="H473" s="21"/>
    </row>
    <row r="474" spans="3:8" ht="16.5" x14ac:dyDescent="0.25">
      <c r="C474" s="54"/>
      <c r="D474" s="53"/>
      <c r="E474" s="113"/>
      <c r="F474" s="49"/>
      <c r="G474" s="21"/>
      <c r="H474" s="21"/>
    </row>
    <row r="475" spans="3:8" ht="16.5" x14ac:dyDescent="0.25">
      <c r="C475" s="54"/>
      <c r="D475" s="53"/>
      <c r="E475" s="113"/>
      <c r="F475" s="49"/>
      <c r="G475" s="21"/>
      <c r="H475" s="21"/>
    </row>
    <row r="476" spans="3:8" ht="16.5" x14ac:dyDescent="0.25">
      <c r="C476" s="54"/>
      <c r="D476" s="53"/>
      <c r="E476" s="113"/>
      <c r="F476" s="49"/>
      <c r="G476" s="21"/>
      <c r="H476" s="21"/>
    </row>
    <row r="477" spans="3:8" ht="16.5" x14ac:dyDescent="0.25">
      <c r="C477" s="54"/>
      <c r="D477" s="53"/>
      <c r="E477" s="113"/>
      <c r="F477" s="49"/>
      <c r="G477" s="21"/>
      <c r="H477" s="21"/>
    </row>
    <row r="478" spans="3:8" ht="16.5" x14ac:dyDescent="0.25">
      <c r="C478" s="54"/>
      <c r="D478" s="53"/>
      <c r="E478" s="113"/>
      <c r="F478" s="49"/>
      <c r="G478" s="21"/>
      <c r="H478" s="21"/>
    </row>
    <row r="479" spans="3:8" ht="16.5" x14ac:dyDescent="0.25">
      <c r="C479" s="54"/>
      <c r="D479" s="53"/>
      <c r="E479" s="113"/>
      <c r="F479" s="49"/>
      <c r="G479" s="21"/>
      <c r="H479" s="21"/>
    </row>
    <row r="480" spans="3:8" ht="16.5" x14ac:dyDescent="0.25">
      <c r="C480" s="54"/>
      <c r="D480" s="53"/>
      <c r="E480" s="113"/>
      <c r="F480" s="49"/>
      <c r="G480" s="21"/>
      <c r="H480" s="21"/>
    </row>
    <row r="481" spans="3:8" ht="16.5" x14ac:dyDescent="0.25">
      <c r="C481" s="54"/>
      <c r="D481" s="53"/>
      <c r="E481" s="113"/>
      <c r="F481" s="49"/>
      <c r="G481" s="21"/>
      <c r="H481" s="21"/>
    </row>
    <row r="482" spans="3:8" ht="16.5" x14ac:dyDescent="0.25">
      <c r="C482" s="54"/>
      <c r="D482" s="53"/>
      <c r="E482" s="113"/>
      <c r="F482" s="49"/>
      <c r="G482" s="21"/>
      <c r="H482" s="21"/>
    </row>
    <row r="483" spans="3:8" ht="16.5" x14ac:dyDescent="0.25">
      <c r="C483" s="54"/>
      <c r="D483" s="53"/>
      <c r="E483" s="113"/>
      <c r="F483" s="49"/>
      <c r="G483" s="21"/>
      <c r="H483" s="21"/>
    </row>
    <row r="484" spans="3:8" ht="16.5" x14ac:dyDescent="0.25">
      <c r="C484" s="54"/>
      <c r="D484" s="53"/>
      <c r="E484" s="113"/>
      <c r="F484" s="49"/>
      <c r="G484" s="21"/>
      <c r="H484" s="21"/>
    </row>
    <row r="485" spans="3:8" ht="16.5" x14ac:dyDescent="0.25">
      <c r="C485" s="54"/>
      <c r="D485" s="53"/>
      <c r="E485" s="113"/>
      <c r="F485" s="49"/>
      <c r="G485" s="21"/>
      <c r="H485" s="21"/>
    </row>
    <row r="486" spans="3:8" ht="16.5" x14ac:dyDescent="0.25">
      <c r="C486" s="54"/>
      <c r="D486" s="53"/>
      <c r="E486" s="113"/>
      <c r="F486" s="49"/>
      <c r="G486" s="21"/>
      <c r="H486" s="21"/>
    </row>
    <row r="487" spans="3:8" ht="16.5" x14ac:dyDescent="0.25">
      <c r="C487" s="54"/>
      <c r="D487" s="53"/>
      <c r="E487" s="113"/>
      <c r="F487" s="49"/>
      <c r="G487" s="21"/>
      <c r="H487" s="21"/>
    </row>
    <row r="488" spans="3:8" ht="16.5" x14ac:dyDescent="0.25">
      <c r="C488" s="54"/>
      <c r="D488" s="53"/>
      <c r="E488" s="115"/>
      <c r="F488" s="49"/>
      <c r="G488" s="21"/>
      <c r="H488" s="21"/>
    </row>
    <row r="489" spans="3:8" ht="16.5" x14ac:dyDescent="0.25">
      <c r="C489" s="54"/>
      <c r="D489" s="53"/>
      <c r="E489" s="113"/>
      <c r="F489" s="49"/>
      <c r="G489" s="21"/>
      <c r="H489" s="21"/>
    </row>
    <row r="490" spans="3:8" ht="16.5" x14ac:dyDescent="0.25">
      <c r="C490" s="54"/>
      <c r="D490" s="53"/>
      <c r="E490" s="113"/>
      <c r="F490" s="49"/>
      <c r="G490" s="21"/>
      <c r="H490" s="21"/>
    </row>
    <row r="491" spans="3:8" ht="16.5" x14ac:dyDescent="0.25">
      <c r="C491" s="54"/>
      <c r="D491" s="53"/>
      <c r="E491" s="113"/>
      <c r="F491" s="49"/>
      <c r="G491" s="21"/>
      <c r="H491" s="21"/>
    </row>
    <row r="492" spans="3:8" ht="16.5" x14ac:dyDescent="0.25">
      <c r="C492" s="54"/>
      <c r="D492" s="53"/>
      <c r="E492" s="113"/>
      <c r="F492" s="49"/>
      <c r="G492" s="21"/>
      <c r="H492" s="21"/>
    </row>
    <row r="493" spans="3:8" ht="16.5" x14ac:dyDescent="0.25">
      <c r="C493" s="54"/>
      <c r="D493" s="53"/>
      <c r="E493" s="113"/>
      <c r="F493" s="49"/>
      <c r="G493" s="21"/>
      <c r="H493" s="21"/>
    </row>
    <row r="494" spans="3:8" ht="16.5" x14ac:dyDescent="0.25">
      <c r="C494" s="54"/>
      <c r="D494" s="53"/>
      <c r="E494" s="113"/>
      <c r="F494" s="49"/>
      <c r="G494" s="21"/>
      <c r="H494" s="21"/>
    </row>
    <row r="495" spans="3:8" ht="16.5" x14ac:dyDescent="0.25">
      <c r="C495" s="54"/>
      <c r="D495" s="53"/>
      <c r="E495" s="113"/>
      <c r="F495" s="49"/>
      <c r="G495" s="21"/>
      <c r="H495" s="21"/>
    </row>
    <row r="496" spans="3:8" ht="16.5" x14ac:dyDescent="0.25">
      <c r="C496" s="54"/>
      <c r="D496" s="53"/>
      <c r="E496" s="113"/>
      <c r="F496" s="49"/>
      <c r="G496" s="21"/>
      <c r="H496" s="21"/>
    </row>
    <row r="497" spans="3:8" ht="16.5" x14ac:dyDescent="0.25">
      <c r="C497" s="54"/>
      <c r="D497" s="53"/>
      <c r="E497" s="113"/>
      <c r="F497" s="49"/>
      <c r="G497" s="21"/>
      <c r="H497" s="21"/>
    </row>
    <row r="498" spans="3:8" ht="16.5" x14ac:dyDescent="0.25">
      <c r="C498" s="54"/>
      <c r="D498" s="53"/>
      <c r="E498" s="113"/>
      <c r="F498" s="49"/>
      <c r="G498" s="21"/>
      <c r="H498" s="21"/>
    </row>
    <row r="499" spans="3:8" ht="16.5" x14ac:dyDescent="0.25">
      <c r="C499" s="54"/>
      <c r="D499" s="53"/>
      <c r="E499" s="113"/>
      <c r="F499" s="49"/>
      <c r="G499" s="21"/>
      <c r="H499" s="21"/>
    </row>
    <row r="500" spans="3:8" ht="16.5" x14ac:dyDescent="0.25">
      <c r="C500" s="54"/>
      <c r="D500" s="53"/>
      <c r="E500" s="113"/>
      <c r="F500" s="49"/>
      <c r="G500" s="21"/>
      <c r="H500" s="21"/>
    </row>
    <row r="501" spans="3:8" ht="16.5" x14ac:dyDescent="0.25">
      <c r="C501" s="54"/>
      <c r="D501" s="53"/>
      <c r="E501" s="113"/>
      <c r="F501" s="49"/>
      <c r="G501" s="21"/>
      <c r="H501" s="21"/>
    </row>
    <row r="502" spans="3:8" ht="16.5" x14ac:dyDescent="0.25">
      <c r="C502" s="54"/>
      <c r="D502" s="53"/>
      <c r="E502" s="113"/>
      <c r="F502" s="49"/>
      <c r="G502" s="21"/>
      <c r="H502" s="21"/>
    </row>
    <row r="503" spans="3:8" ht="16.5" x14ac:dyDescent="0.25">
      <c r="C503" s="54"/>
      <c r="D503" s="53"/>
      <c r="E503" s="113"/>
      <c r="F503" s="49"/>
      <c r="G503" s="21"/>
      <c r="H503" s="21"/>
    </row>
    <row r="504" spans="3:8" ht="16.5" x14ac:dyDescent="0.25">
      <c r="C504" s="54"/>
      <c r="D504" s="53"/>
      <c r="E504" s="113"/>
      <c r="F504" s="49"/>
      <c r="G504" s="21"/>
      <c r="H504" s="21"/>
    </row>
    <row r="505" spans="3:8" ht="16.5" x14ac:dyDescent="0.25">
      <c r="C505" s="54"/>
      <c r="D505" s="53"/>
      <c r="E505" s="113"/>
      <c r="F505" s="49"/>
      <c r="G505" s="21"/>
      <c r="H505" s="21"/>
    </row>
    <row r="506" spans="3:8" ht="16.5" x14ac:dyDescent="0.25">
      <c r="C506" s="54"/>
      <c r="D506" s="53"/>
      <c r="E506" s="112"/>
      <c r="F506" s="49"/>
      <c r="G506" s="21"/>
      <c r="H506" s="21"/>
    </row>
    <row r="507" spans="3:8" ht="16.5" x14ac:dyDescent="0.25">
      <c r="C507" s="54"/>
      <c r="D507" s="53"/>
      <c r="E507" s="112"/>
      <c r="F507" s="49"/>
      <c r="G507" s="21"/>
      <c r="H507" s="21"/>
    </row>
    <row r="508" spans="3:8" ht="16.5" x14ac:dyDescent="0.25">
      <c r="C508" s="54"/>
      <c r="D508" s="53"/>
      <c r="E508" s="112"/>
      <c r="F508" s="49"/>
      <c r="G508" s="21"/>
      <c r="H508" s="21"/>
    </row>
    <row r="509" spans="3:8" ht="16.5" x14ac:dyDescent="0.25">
      <c r="C509" s="54"/>
      <c r="D509" s="53"/>
      <c r="E509" s="112"/>
      <c r="F509" s="49"/>
      <c r="G509" s="21"/>
      <c r="H509" s="21"/>
    </row>
    <row r="510" spans="3:8" ht="16.5" x14ac:dyDescent="0.25">
      <c r="C510" s="54"/>
      <c r="D510" s="53"/>
      <c r="E510" s="112"/>
      <c r="F510" s="49"/>
      <c r="G510" s="21"/>
      <c r="H510" s="21"/>
    </row>
    <row r="511" spans="3:8" ht="16.5" x14ac:dyDescent="0.25">
      <c r="C511" s="54"/>
      <c r="D511" s="53"/>
      <c r="E511" s="112"/>
      <c r="F511" s="49"/>
      <c r="G511" s="21"/>
      <c r="H511" s="21"/>
    </row>
    <row r="512" spans="3:8" ht="16.5" x14ac:dyDescent="0.25">
      <c r="C512" s="54"/>
      <c r="D512" s="53"/>
      <c r="E512" s="116"/>
      <c r="F512" s="49"/>
      <c r="G512" s="21"/>
      <c r="H512" s="21"/>
    </row>
    <row r="513" spans="3:8" ht="16.5" x14ac:dyDescent="0.25">
      <c r="C513" s="54"/>
      <c r="D513" s="53"/>
      <c r="E513" s="116"/>
      <c r="F513" s="49"/>
      <c r="G513" s="21"/>
      <c r="H513" s="21"/>
    </row>
    <row r="514" spans="3:8" ht="16.5" x14ac:dyDescent="0.25">
      <c r="C514" s="54"/>
      <c r="D514" s="53"/>
      <c r="E514" s="116"/>
      <c r="F514" s="49"/>
      <c r="G514" s="21"/>
      <c r="H514" s="21"/>
    </row>
    <row r="515" spans="3:8" ht="16.5" x14ac:dyDescent="0.25">
      <c r="C515" s="54"/>
      <c r="D515" s="53"/>
      <c r="E515" s="116"/>
      <c r="F515" s="49"/>
      <c r="G515" s="21"/>
      <c r="H515" s="21"/>
    </row>
    <row r="516" spans="3:8" ht="16.5" x14ac:dyDescent="0.25">
      <c r="C516" s="54"/>
      <c r="D516" s="53"/>
      <c r="E516" s="116"/>
      <c r="F516" s="49"/>
      <c r="G516" s="21"/>
      <c r="H516" s="21"/>
    </row>
    <row r="517" spans="3:8" ht="16.5" x14ac:dyDescent="0.25">
      <c r="C517" s="54"/>
      <c r="D517" s="53"/>
      <c r="E517" s="116"/>
      <c r="F517" s="49"/>
      <c r="G517" s="21"/>
      <c r="H517" s="21"/>
    </row>
    <row r="518" spans="3:8" ht="16.5" x14ac:dyDescent="0.25">
      <c r="C518" s="54"/>
      <c r="D518" s="53"/>
      <c r="E518" s="116"/>
      <c r="F518" s="49"/>
      <c r="G518" s="21"/>
      <c r="H518" s="21"/>
    </row>
    <row r="519" spans="3:8" ht="16.5" x14ac:dyDescent="0.25">
      <c r="C519" s="54"/>
      <c r="D519" s="53"/>
      <c r="E519" s="116"/>
      <c r="F519" s="49"/>
      <c r="G519" s="21"/>
      <c r="H519" s="21"/>
    </row>
    <row r="520" spans="3:8" ht="16.5" x14ac:dyDescent="0.25">
      <c r="C520" s="54"/>
      <c r="D520" s="53"/>
      <c r="E520" s="116"/>
      <c r="F520" s="49"/>
      <c r="G520" s="21"/>
      <c r="H520" s="21"/>
    </row>
    <row r="521" spans="3:8" ht="16.5" x14ac:dyDescent="0.25">
      <c r="C521" s="54"/>
      <c r="D521" s="53"/>
      <c r="E521" s="116"/>
      <c r="F521" s="49"/>
      <c r="G521" s="21"/>
      <c r="H521" s="21"/>
    </row>
    <row r="522" spans="3:8" ht="16.5" x14ac:dyDescent="0.25">
      <c r="C522" s="54"/>
      <c r="D522" s="53"/>
      <c r="E522" s="116"/>
      <c r="F522" s="49"/>
      <c r="G522" s="21"/>
      <c r="H522" s="21"/>
    </row>
    <row r="523" spans="3:8" ht="16.5" x14ac:dyDescent="0.25">
      <c r="C523" s="54"/>
      <c r="D523" s="53"/>
      <c r="E523" s="116"/>
      <c r="F523" s="49"/>
      <c r="G523" s="21"/>
      <c r="H523" s="21"/>
    </row>
    <row r="524" spans="3:8" ht="16.5" x14ac:dyDescent="0.25">
      <c r="C524" s="54"/>
      <c r="D524" s="53"/>
      <c r="E524" s="116"/>
      <c r="F524" s="49"/>
      <c r="G524" s="21"/>
      <c r="H524" s="21"/>
    </row>
    <row r="525" spans="3:8" ht="16.5" x14ac:dyDescent="0.25">
      <c r="C525" s="54"/>
      <c r="D525" s="53"/>
      <c r="E525" s="116"/>
      <c r="F525" s="49"/>
      <c r="G525" s="21"/>
      <c r="H525" s="21"/>
    </row>
    <row r="526" spans="3:8" ht="16.5" x14ac:dyDescent="0.25">
      <c r="C526" s="54"/>
      <c r="D526" s="53"/>
      <c r="E526" s="116"/>
      <c r="F526" s="49"/>
      <c r="G526" s="21"/>
      <c r="H526" s="21"/>
    </row>
    <row r="527" spans="3:8" ht="16.5" x14ac:dyDescent="0.25">
      <c r="C527" s="54"/>
      <c r="D527" s="53"/>
      <c r="E527" s="116"/>
      <c r="F527" s="49"/>
      <c r="G527" s="21"/>
      <c r="H527" s="21"/>
    </row>
    <row r="528" spans="3:8" ht="16.5" x14ac:dyDescent="0.25">
      <c r="C528" s="54"/>
      <c r="D528" s="53"/>
      <c r="E528" s="116"/>
      <c r="F528" s="49"/>
      <c r="G528" s="21"/>
      <c r="H528" s="21"/>
    </row>
    <row r="529" spans="3:8" ht="16.5" x14ac:dyDescent="0.25">
      <c r="C529" s="54"/>
      <c r="D529" s="53"/>
      <c r="E529" s="116"/>
      <c r="F529" s="49"/>
      <c r="G529" s="21"/>
      <c r="H529" s="21"/>
    </row>
    <row r="530" spans="3:8" ht="16.5" x14ac:dyDescent="0.25">
      <c r="C530" s="54"/>
      <c r="D530" s="53"/>
      <c r="E530" s="116"/>
      <c r="F530" s="49"/>
      <c r="G530" s="21"/>
      <c r="H530" s="21"/>
    </row>
    <row r="531" spans="3:8" ht="16.5" x14ac:dyDescent="0.25">
      <c r="C531" s="54"/>
      <c r="D531" s="53"/>
      <c r="E531" s="116"/>
      <c r="F531" s="49"/>
      <c r="G531" s="21"/>
      <c r="H531" s="21"/>
    </row>
    <row r="532" spans="3:8" ht="16.5" x14ac:dyDescent="0.25">
      <c r="C532" s="54"/>
      <c r="D532" s="53"/>
      <c r="E532" s="116"/>
      <c r="F532" s="49"/>
      <c r="G532" s="21"/>
      <c r="H532" s="21"/>
    </row>
    <row r="533" spans="3:8" ht="16.5" x14ac:dyDescent="0.25">
      <c r="C533" s="54"/>
      <c r="D533" s="53"/>
      <c r="E533" s="116"/>
      <c r="F533" s="49"/>
      <c r="G533" s="21"/>
      <c r="H533" s="21"/>
    </row>
    <row r="534" spans="3:8" ht="16.5" x14ac:dyDescent="0.25">
      <c r="C534" s="54"/>
      <c r="D534" s="53"/>
      <c r="E534" s="116"/>
      <c r="F534" s="49"/>
      <c r="G534" s="21"/>
      <c r="H534" s="21"/>
    </row>
    <row r="535" spans="3:8" ht="16.5" x14ac:dyDescent="0.25">
      <c r="C535" s="54"/>
      <c r="D535" s="53"/>
      <c r="E535" s="116"/>
      <c r="F535" s="49"/>
      <c r="G535" s="21"/>
      <c r="H535" s="21"/>
    </row>
    <row r="536" spans="3:8" ht="16.5" x14ac:dyDescent="0.25">
      <c r="C536" s="54"/>
      <c r="D536" s="53"/>
      <c r="E536" s="116"/>
      <c r="F536" s="49"/>
      <c r="G536" s="21"/>
      <c r="H536" s="21"/>
    </row>
    <row r="537" spans="3:8" ht="16.5" x14ac:dyDescent="0.25">
      <c r="C537" s="54"/>
      <c r="D537" s="53"/>
      <c r="E537" s="116"/>
      <c r="F537" s="49"/>
      <c r="G537" s="21"/>
      <c r="H537" s="21"/>
    </row>
    <row r="538" spans="3:8" ht="16.5" x14ac:dyDescent="0.25">
      <c r="C538" s="54"/>
      <c r="D538" s="53"/>
      <c r="E538" s="116"/>
      <c r="F538" s="49"/>
      <c r="G538" s="21"/>
      <c r="H538" s="21"/>
    </row>
    <row r="539" spans="3:8" ht="16.5" x14ac:dyDescent="0.25">
      <c r="C539" s="54"/>
      <c r="D539" s="53"/>
      <c r="E539" s="116"/>
      <c r="F539" s="49"/>
      <c r="G539" s="21"/>
      <c r="H539" s="21"/>
    </row>
    <row r="540" spans="3:8" ht="16.5" x14ac:dyDescent="0.25">
      <c r="C540" s="54"/>
      <c r="D540" s="53"/>
      <c r="E540" s="116"/>
      <c r="F540" s="49"/>
      <c r="G540" s="21"/>
      <c r="H540" s="21"/>
    </row>
    <row r="541" spans="3:8" ht="16.5" x14ac:dyDescent="0.25">
      <c r="C541" s="54"/>
      <c r="D541" s="53"/>
      <c r="E541" s="116"/>
      <c r="F541" s="49"/>
      <c r="G541" s="21"/>
      <c r="H541" s="21"/>
    </row>
    <row r="542" spans="3:8" ht="16.5" x14ac:dyDescent="0.25">
      <c r="C542" s="54"/>
      <c r="D542" s="53"/>
      <c r="E542" s="116"/>
      <c r="F542" s="49"/>
      <c r="G542" s="21"/>
      <c r="H542" s="21"/>
    </row>
    <row r="543" spans="3:8" ht="16.5" x14ac:dyDescent="0.25">
      <c r="C543" s="54"/>
      <c r="D543" s="53"/>
      <c r="E543" s="116"/>
      <c r="F543" s="49"/>
      <c r="G543" s="21"/>
      <c r="H543" s="21"/>
    </row>
    <row r="544" spans="3:8" ht="16.5" x14ac:dyDescent="0.25">
      <c r="C544" s="54"/>
      <c r="D544" s="53"/>
      <c r="E544" s="116"/>
      <c r="F544" s="49"/>
      <c r="G544" s="21"/>
      <c r="H544" s="21"/>
    </row>
    <row r="545" spans="3:8" ht="16.5" x14ac:dyDescent="0.25">
      <c r="C545" s="54"/>
      <c r="D545" s="53"/>
      <c r="E545" s="116"/>
      <c r="F545" s="49"/>
      <c r="G545" s="21"/>
      <c r="H545" s="21"/>
    </row>
    <row r="546" spans="3:8" ht="16.5" x14ac:dyDescent="0.25">
      <c r="C546" s="54"/>
      <c r="D546" s="53"/>
      <c r="E546" s="116"/>
      <c r="F546" s="49"/>
      <c r="G546" s="21"/>
      <c r="H546" s="21"/>
    </row>
    <row r="547" spans="3:8" ht="16.5" x14ac:dyDescent="0.25">
      <c r="C547" s="54"/>
      <c r="D547" s="53"/>
      <c r="E547" s="116"/>
      <c r="F547" s="49"/>
      <c r="G547" s="21"/>
      <c r="H547" s="21"/>
    </row>
    <row r="548" spans="3:8" ht="16.5" x14ac:dyDescent="0.25">
      <c r="C548" s="54"/>
      <c r="D548" s="53"/>
      <c r="E548" s="116"/>
      <c r="F548" s="49"/>
      <c r="G548" s="21"/>
      <c r="H548" s="21"/>
    </row>
    <row r="549" spans="3:8" ht="16.5" x14ac:dyDescent="0.25">
      <c r="C549" s="54"/>
      <c r="D549" s="53"/>
      <c r="E549" s="116"/>
      <c r="F549" s="49"/>
      <c r="G549" s="21"/>
      <c r="H549" s="21"/>
    </row>
    <row r="550" spans="3:8" ht="16.5" x14ac:dyDescent="0.25">
      <c r="C550" s="54"/>
      <c r="D550" s="53"/>
      <c r="E550" s="117"/>
      <c r="F550" s="49"/>
      <c r="G550" s="21"/>
      <c r="H550" s="21"/>
    </row>
    <row r="551" spans="3:8" ht="16.5" x14ac:dyDescent="0.25">
      <c r="C551" s="54"/>
      <c r="D551" s="53"/>
      <c r="E551" s="117"/>
      <c r="F551" s="49"/>
      <c r="G551" s="21"/>
      <c r="H551" s="21"/>
    </row>
    <row r="552" spans="3:8" ht="16.5" x14ac:dyDescent="0.25">
      <c r="C552" s="54"/>
      <c r="D552" s="53"/>
      <c r="E552" s="117"/>
      <c r="F552" s="49"/>
      <c r="G552" s="21"/>
      <c r="H552" s="21"/>
    </row>
    <row r="553" spans="3:8" ht="16.5" x14ac:dyDescent="0.25">
      <c r="C553" s="54"/>
      <c r="D553" s="53"/>
      <c r="E553" s="117"/>
      <c r="F553" s="49"/>
      <c r="G553" s="28"/>
      <c r="H553" s="28"/>
    </row>
    <row r="554" spans="3:8" ht="16.5" x14ac:dyDescent="0.25">
      <c r="C554" s="54"/>
      <c r="D554" s="53"/>
      <c r="E554" s="117"/>
      <c r="F554" s="49"/>
      <c r="G554" s="55"/>
      <c r="H554" s="55"/>
    </row>
    <row r="555" spans="3:8" ht="16.5" x14ac:dyDescent="0.25">
      <c r="C555" s="54"/>
      <c r="D555" s="53"/>
      <c r="E555" s="117"/>
      <c r="F555" s="49"/>
      <c r="G555" s="55"/>
      <c r="H555" s="55"/>
    </row>
    <row r="556" spans="3:8" ht="16.5" x14ac:dyDescent="0.25">
      <c r="C556" s="54"/>
      <c r="D556" s="53"/>
      <c r="E556" s="117"/>
      <c r="F556" s="49"/>
      <c r="G556" s="55"/>
      <c r="H556" s="55"/>
    </row>
    <row r="557" spans="3:8" ht="16.5" x14ac:dyDescent="0.25">
      <c r="C557" s="54"/>
      <c r="D557" s="53"/>
      <c r="E557" s="117"/>
      <c r="F557" s="49"/>
      <c r="G557" s="55"/>
      <c r="H557" s="55"/>
    </row>
    <row r="558" spans="3:8" ht="16.5" x14ac:dyDescent="0.25">
      <c r="C558" s="54"/>
      <c r="D558" s="53"/>
      <c r="E558" s="117"/>
      <c r="F558" s="49"/>
      <c r="G558" s="55"/>
      <c r="H558" s="55"/>
    </row>
    <row r="559" spans="3:8" ht="16.5" x14ac:dyDescent="0.25">
      <c r="C559" s="54"/>
      <c r="D559" s="53"/>
      <c r="E559" s="117"/>
      <c r="F559" s="49"/>
      <c r="G559" s="55"/>
      <c r="H559" s="55"/>
    </row>
    <row r="560" spans="3:8" ht="17.25" x14ac:dyDescent="0.25">
      <c r="C560" s="54"/>
      <c r="D560" s="53"/>
      <c r="E560" s="118"/>
      <c r="F560" s="49"/>
      <c r="G560" s="55"/>
      <c r="H560" s="55"/>
    </row>
    <row r="561" spans="3:8" ht="16.5" x14ac:dyDescent="0.25">
      <c r="C561" s="54"/>
      <c r="D561" s="53"/>
      <c r="E561" s="117"/>
      <c r="F561" s="49"/>
      <c r="G561" s="55"/>
      <c r="H561" s="55"/>
    </row>
    <row r="562" spans="3:8" ht="16.5" x14ac:dyDescent="0.25">
      <c r="C562" s="54"/>
      <c r="D562" s="53"/>
      <c r="E562" s="117"/>
      <c r="F562" s="49"/>
      <c r="G562" s="55"/>
      <c r="H562" s="55"/>
    </row>
    <row r="563" spans="3:8" ht="16.5" x14ac:dyDescent="0.25">
      <c r="C563" s="54"/>
      <c r="D563" s="53"/>
      <c r="E563" s="117"/>
      <c r="F563" s="49"/>
      <c r="G563" s="55"/>
      <c r="H563" s="55"/>
    </row>
    <row r="564" spans="3:8" ht="16.5" x14ac:dyDescent="0.25">
      <c r="C564" s="54"/>
      <c r="D564" s="53"/>
      <c r="E564" s="117"/>
      <c r="F564" s="49"/>
      <c r="G564" s="55"/>
      <c r="H564" s="55"/>
    </row>
    <row r="565" spans="3:8" ht="16.5" x14ac:dyDescent="0.25">
      <c r="C565" s="54"/>
      <c r="D565" s="53"/>
      <c r="E565" s="117"/>
      <c r="F565" s="49"/>
      <c r="G565" s="55"/>
      <c r="H565" s="55"/>
    </row>
    <row r="566" spans="3:8" ht="16.5" x14ac:dyDescent="0.25">
      <c r="C566" s="54"/>
      <c r="D566" s="53"/>
      <c r="E566" s="117"/>
      <c r="F566" s="49"/>
      <c r="G566" s="55"/>
      <c r="H566" s="55"/>
    </row>
    <row r="567" spans="3:8" ht="16.5" x14ac:dyDescent="0.25">
      <c r="C567" s="54"/>
      <c r="D567" s="53"/>
      <c r="E567" s="117"/>
      <c r="F567" s="49"/>
      <c r="G567" s="55"/>
      <c r="H567" s="55"/>
    </row>
    <row r="568" spans="3:8" ht="16.5" x14ac:dyDescent="0.25">
      <c r="C568" s="54"/>
      <c r="D568" s="53"/>
      <c r="E568" s="117"/>
      <c r="F568" s="49"/>
      <c r="G568" s="55"/>
      <c r="H568" s="55"/>
    </row>
    <row r="569" spans="3:8" ht="16.5" x14ac:dyDescent="0.25">
      <c r="C569" s="54"/>
      <c r="D569" s="53"/>
      <c r="E569" s="117"/>
      <c r="F569" s="49"/>
      <c r="G569" s="55"/>
      <c r="H569" s="55"/>
    </row>
    <row r="570" spans="3:8" ht="16.5" x14ac:dyDescent="0.25">
      <c r="C570" s="54"/>
      <c r="D570" s="53"/>
      <c r="E570" s="117"/>
      <c r="F570" s="49"/>
      <c r="G570" s="55"/>
      <c r="H570" s="55"/>
    </row>
    <row r="571" spans="3:8" ht="16.5" x14ac:dyDescent="0.25">
      <c r="C571" s="54"/>
      <c r="D571" s="53"/>
      <c r="E571" s="117"/>
      <c r="F571" s="49"/>
      <c r="G571" s="55"/>
      <c r="H571" s="55"/>
    </row>
    <row r="572" spans="3:8" ht="16.5" x14ac:dyDescent="0.25">
      <c r="C572" s="54"/>
      <c r="D572" s="53"/>
      <c r="E572" s="117"/>
      <c r="F572" s="49"/>
      <c r="G572" s="55"/>
      <c r="H572" s="55"/>
    </row>
    <row r="573" spans="3:8" ht="16.5" x14ac:dyDescent="0.25">
      <c r="C573" s="54"/>
      <c r="D573" s="53"/>
      <c r="E573" s="117"/>
      <c r="F573" s="49"/>
      <c r="G573" s="55"/>
      <c r="H573" s="55"/>
    </row>
    <row r="574" spans="3:8" ht="16.5" x14ac:dyDescent="0.25">
      <c r="C574" s="54"/>
      <c r="D574" s="53"/>
      <c r="E574" s="117"/>
      <c r="F574" s="49"/>
      <c r="G574" s="55"/>
      <c r="H574" s="55"/>
    </row>
    <row r="575" spans="3:8" ht="16.5" x14ac:dyDescent="0.25">
      <c r="C575" s="54"/>
      <c r="D575" s="53"/>
      <c r="E575" s="117"/>
      <c r="F575" s="49"/>
      <c r="G575" s="55"/>
      <c r="H575" s="55"/>
    </row>
    <row r="576" spans="3:8" ht="16.5" x14ac:dyDescent="0.25">
      <c r="C576" s="54"/>
      <c r="D576" s="53"/>
      <c r="E576" s="117"/>
      <c r="F576" s="49"/>
      <c r="G576" s="55"/>
      <c r="H576" s="55"/>
    </row>
    <row r="577" spans="3:8" ht="16.5" x14ac:dyDescent="0.25">
      <c r="C577" s="54"/>
      <c r="D577" s="53"/>
      <c r="E577" s="117"/>
      <c r="F577" s="49"/>
      <c r="G577" s="55"/>
      <c r="H577" s="55"/>
    </row>
    <row r="578" spans="3:8" ht="16.5" x14ac:dyDescent="0.25">
      <c r="C578" s="54"/>
      <c r="D578" s="53"/>
      <c r="E578" s="117"/>
      <c r="F578" s="49"/>
      <c r="G578" s="55"/>
      <c r="H578" s="55"/>
    </row>
    <row r="579" spans="3:8" ht="16.5" x14ac:dyDescent="0.25">
      <c r="C579" s="54"/>
      <c r="D579" s="53"/>
      <c r="E579" s="117"/>
      <c r="F579" s="49"/>
      <c r="G579" s="55"/>
      <c r="H579" s="55"/>
    </row>
    <row r="580" spans="3:8" ht="16.5" x14ac:dyDescent="0.25">
      <c r="C580" s="54"/>
      <c r="D580" s="53"/>
      <c r="E580" s="117"/>
      <c r="F580" s="49"/>
      <c r="G580" s="55"/>
      <c r="H580" s="55"/>
    </row>
    <row r="581" spans="3:8" ht="16.5" x14ac:dyDescent="0.25">
      <c r="C581" s="54"/>
      <c r="D581" s="53"/>
      <c r="E581" s="117"/>
      <c r="F581" s="49"/>
      <c r="G581" s="55"/>
      <c r="H581" s="55"/>
    </row>
    <row r="582" spans="3:8" ht="16.5" x14ac:dyDescent="0.25">
      <c r="C582" s="54"/>
      <c r="D582" s="53"/>
      <c r="E582" s="117"/>
      <c r="F582" s="49"/>
      <c r="G582" s="55"/>
      <c r="H582" s="55"/>
    </row>
    <row r="583" spans="3:8" ht="16.5" x14ac:dyDescent="0.25">
      <c r="C583" s="54"/>
      <c r="D583" s="53"/>
      <c r="E583" s="117"/>
      <c r="F583" s="49"/>
      <c r="G583" s="55"/>
      <c r="H583" s="55"/>
    </row>
    <row r="584" spans="3:8" ht="16.5" x14ac:dyDescent="0.25">
      <c r="C584" s="54"/>
      <c r="D584" s="53"/>
      <c r="E584" s="117"/>
      <c r="F584" s="49"/>
      <c r="G584" s="55"/>
      <c r="H584" s="55"/>
    </row>
    <row r="585" spans="3:8" ht="16.5" x14ac:dyDescent="0.25">
      <c r="C585" s="54"/>
      <c r="D585" s="53"/>
      <c r="E585" s="117"/>
      <c r="F585" s="49"/>
      <c r="G585" s="55"/>
      <c r="H585" s="55"/>
    </row>
    <row r="586" spans="3:8" ht="16.5" x14ac:dyDescent="0.25">
      <c r="C586" s="54"/>
      <c r="D586" s="53"/>
      <c r="E586" s="117"/>
      <c r="F586" s="49"/>
      <c r="G586" s="55"/>
      <c r="H586" s="55"/>
    </row>
    <row r="587" spans="3:8" ht="16.5" x14ac:dyDescent="0.25">
      <c r="C587" s="54"/>
      <c r="D587" s="53"/>
      <c r="E587" s="117"/>
      <c r="F587" s="49"/>
      <c r="G587" s="55"/>
      <c r="H587" s="55"/>
    </row>
    <row r="588" spans="3:8" ht="16.5" x14ac:dyDescent="0.25">
      <c r="C588" s="54"/>
      <c r="D588" s="53"/>
      <c r="E588" s="117"/>
      <c r="F588" s="49"/>
      <c r="G588" s="55"/>
      <c r="H588" s="55"/>
    </row>
    <row r="589" spans="3:8" ht="16.5" x14ac:dyDescent="0.25">
      <c r="C589" s="54"/>
      <c r="D589" s="53"/>
      <c r="E589" s="117"/>
      <c r="F589" s="49"/>
      <c r="G589" s="55"/>
      <c r="H589" s="55"/>
    </row>
    <row r="590" spans="3:8" ht="16.5" x14ac:dyDescent="0.25">
      <c r="C590" s="54"/>
      <c r="D590" s="53"/>
      <c r="E590" s="117"/>
      <c r="F590" s="49"/>
      <c r="G590" s="55"/>
      <c r="H590" s="55"/>
    </row>
    <row r="591" spans="3:8" ht="16.5" x14ac:dyDescent="0.25">
      <c r="C591" s="54"/>
      <c r="D591" s="53"/>
      <c r="E591" s="117"/>
      <c r="F591" s="49"/>
      <c r="G591" s="55"/>
      <c r="H591" s="55"/>
    </row>
    <row r="592" spans="3:8" ht="16.5" x14ac:dyDescent="0.25">
      <c r="C592" s="54"/>
      <c r="D592" s="53"/>
      <c r="E592" s="117"/>
      <c r="F592" s="49"/>
      <c r="G592" s="55"/>
      <c r="H592" s="55"/>
    </row>
    <row r="593" spans="3:8" ht="16.5" x14ac:dyDescent="0.25">
      <c r="C593" s="54"/>
      <c r="D593" s="53"/>
      <c r="E593" s="117"/>
      <c r="F593" s="49"/>
      <c r="G593" s="55"/>
      <c r="H593" s="55"/>
    </row>
    <row r="594" spans="3:8" ht="16.5" x14ac:dyDescent="0.25">
      <c r="C594" s="54"/>
      <c r="D594" s="53"/>
      <c r="E594" s="117"/>
      <c r="F594" s="49"/>
      <c r="G594" s="55"/>
      <c r="H594" s="55"/>
    </row>
    <row r="595" spans="3:8" ht="16.5" x14ac:dyDescent="0.25">
      <c r="C595" s="54"/>
      <c r="D595" s="53"/>
      <c r="E595" s="117"/>
      <c r="F595" s="49"/>
      <c r="G595" s="55"/>
      <c r="H595" s="55"/>
    </row>
    <row r="596" spans="3:8" ht="16.5" x14ac:dyDescent="0.25">
      <c r="C596" s="54"/>
      <c r="D596" s="53"/>
      <c r="E596" s="117"/>
      <c r="F596" s="49"/>
      <c r="G596" s="55"/>
      <c r="H596" s="55"/>
    </row>
    <row r="597" spans="3:8" ht="16.5" x14ac:dyDescent="0.25">
      <c r="C597" s="54"/>
      <c r="D597" s="53"/>
      <c r="E597" s="117"/>
      <c r="F597" s="49"/>
      <c r="G597" s="55"/>
      <c r="H597" s="55"/>
    </row>
    <row r="598" spans="3:8" ht="16.5" x14ac:dyDescent="0.25">
      <c r="C598" s="54"/>
      <c r="D598" s="53"/>
      <c r="E598" s="119"/>
      <c r="F598" s="49"/>
      <c r="G598" s="55"/>
      <c r="H598" s="55"/>
    </row>
    <row r="599" spans="3:8" ht="16.5" x14ac:dyDescent="0.25">
      <c r="C599" s="54"/>
      <c r="D599" s="53"/>
      <c r="E599" s="119"/>
      <c r="F599" s="49"/>
      <c r="G599" s="55"/>
      <c r="H599" s="55"/>
    </row>
    <row r="600" spans="3:8" ht="16.5" x14ac:dyDescent="0.25">
      <c r="C600" s="54"/>
      <c r="D600" s="53"/>
      <c r="E600" s="119"/>
      <c r="F600" s="49"/>
      <c r="G600" s="55"/>
      <c r="H600" s="55"/>
    </row>
    <row r="601" spans="3:8" ht="16.5" x14ac:dyDescent="0.25">
      <c r="C601" s="54"/>
      <c r="D601" s="53"/>
      <c r="E601" s="119"/>
      <c r="F601" s="49"/>
      <c r="G601" s="55"/>
      <c r="H601" s="55"/>
    </row>
    <row r="602" spans="3:8" ht="16.5" x14ac:dyDescent="0.25">
      <c r="C602" s="54"/>
      <c r="D602" s="53"/>
      <c r="E602" s="119"/>
      <c r="F602" s="49"/>
      <c r="G602" s="55"/>
      <c r="H602" s="55"/>
    </row>
    <row r="603" spans="3:8" ht="16.5" x14ac:dyDescent="0.25">
      <c r="C603" s="54"/>
      <c r="D603" s="53"/>
      <c r="E603" s="119"/>
      <c r="F603" s="49"/>
      <c r="G603" s="55"/>
      <c r="H603" s="55"/>
    </row>
    <row r="604" spans="3:8" ht="16.5" x14ac:dyDescent="0.25">
      <c r="C604" s="54"/>
      <c r="D604" s="53"/>
      <c r="E604" s="119"/>
      <c r="F604" s="49"/>
      <c r="G604" s="55"/>
      <c r="H604" s="55"/>
    </row>
    <row r="605" spans="3:8" ht="16.5" x14ac:dyDescent="0.25">
      <c r="C605" s="54"/>
      <c r="D605" s="53"/>
      <c r="E605" s="119"/>
      <c r="F605" s="49"/>
      <c r="G605" s="55"/>
      <c r="H605" s="55"/>
    </row>
    <row r="606" spans="3:8" ht="16.5" x14ac:dyDescent="0.25">
      <c r="C606" s="54"/>
      <c r="D606" s="53"/>
      <c r="E606" s="119"/>
      <c r="F606" s="49"/>
      <c r="G606" s="55"/>
      <c r="H606" s="55"/>
    </row>
    <row r="607" spans="3:8" ht="16.5" x14ac:dyDescent="0.25">
      <c r="C607" s="54"/>
      <c r="D607" s="53"/>
      <c r="E607" s="119"/>
      <c r="F607" s="49"/>
      <c r="G607" s="55"/>
      <c r="H607" s="55"/>
    </row>
    <row r="608" spans="3:8" ht="16.5" x14ac:dyDescent="0.25">
      <c r="C608" s="54"/>
      <c r="D608" s="53"/>
      <c r="E608" s="119"/>
      <c r="F608" s="49"/>
      <c r="G608" s="55"/>
      <c r="H608" s="55"/>
    </row>
    <row r="609" spans="3:8" ht="16.5" x14ac:dyDescent="0.25">
      <c r="C609" s="54"/>
      <c r="D609" s="53"/>
      <c r="E609" s="119"/>
      <c r="F609" s="49"/>
      <c r="G609" s="55"/>
      <c r="H609" s="55"/>
    </row>
    <row r="610" spans="3:8" ht="16.5" x14ac:dyDescent="0.25">
      <c r="C610" s="54"/>
      <c r="D610" s="53"/>
      <c r="E610" s="119"/>
      <c r="F610" s="49"/>
      <c r="G610" s="55"/>
      <c r="H610" s="55"/>
    </row>
    <row r="611" spans="3:8" ht="16.5" x14ac:dyDescent="0.25">
      <c r="C611" s="54"/>
      <c r="D611" s="53"/>
      <c r="E611" s="119"/>
      <c r="F611" s="49"/>
      <c r="G611" s="55"/>
      <c r="H611" s="55"/>
    </row>
    <row r="612" spans="3:8" ht="16.5" x14ac:dyDescent="0.25">
      <c r="C612" s="54"/>
      <c r="D612" s="53"/>
      <c r="E612" s="119"/>
      <c r="F612" s="49"/>
      <c r="G612" s="55"/>
      <c r="H612" s="55"/>
    </row>
    <row r="613" spans="3:8" ht="16.5" x14ac:dyDescent="0.25">
      <c r="C613" s="54"/>
      <c r="D613" s="53"/>
      <c r="E613" s="119"/>
      <c r="F613" s="49"/>
      <c r="G613" s="55"/>
      <c r="H613" s="55"/>
    </row>
    <row r="614" spans="3:8" ht="16.5" x14ac:dyDescent="0.25">
      <c r="C614" s="54"/>
      <c r="D614" s="53"/>
      <c r="E614" s="119"/>
      <c r="F614" s="49"/>
      <c r="G614" s="55"/>
      <c r="H614" s="55"/>
    </row>
    <row r="615" spans="3:8" ht="16.5" x14ac:dyDescent="0.25">
      <c r="C615" s="54"/>
      <c r="D615" s="53"/>
      <c r="E615" s="119"/>
      <c r="F615" s="49"/>
      <c r="G615" s="55"/>
      <c r="H615" s="55"/>
    </row>
    <row r="616" spans="3:8" ht="16.5" x14ac:dyDescent="0.25">
      <c r="C616" s="54"/>
      <c r="D616" s="53"/>
      <c r="E616" s="119"/>
      <c r="F616" s="49"/>
      <c r="G616" s="55"/>
      <c r="H616" s="55"/>
    </row>
    <row r="617" spans="3:8" ht="16.5" x14ac:dyDescent="0.25">
      <c r="C617" s="54"/>
      <c r="D617" s="53"/>
      <c r="E617" s="119"/>
      <c r="F617" s="49"/>
      <c r="G617" s="55"/>
      <c r="H617" s="55"/>
    </row>
    <row r="618" spans="3:8" ht="16.5" x14ac:dyDescent="0.25">
      <c r="C618" s="54"/>
      <c r="D618" s="53"/>
      <c r="E618" s="119"/>
      <c r="F618" s="49"/>
      <c r="G618" s="55"/>
      <c r="H618" s="55"/>
    </row>
    <row r="619" spans="3:8" ht="16.5" x14ac:dyDescent="0.25">
      <c r="C619" s="54"/>
      <c r="D619" s="53"/>
      <c r="E619" s="119"/>
      <c r="F619" s="49"/>
      <c r="G619" s="55"/>
      <c r="H619" s="55"/>
    </row>
    <row r="620" spans="3:8" ht="16.5" x14ac:dyDescent="0.25">
      <c r="C620" s="54"/>
      <c r="D620" s="53"/>
      <c r="E620" s="119"/>
      <c r="F620" s="49"/>
      <c r="G620" s="55"/>
      <c r="H620" s="55"/>
    </row>
    <row r="621" spans="3:8" ht="16.5" x14ac:dyDescent="0.25">
      <c r="C621" s="54"/>
      <c r="D621" s="53"/>
      <c r="E621" s="119"/>
      <c r="F621" s="49"/>
      <c r="G621" s="55"/>
      <c r="H621" s="55"/>
    </row>
    <row r="622" spans="3:8" ht="16.5" x14ac:dyDescent="0.25">
      <c r="C622" s="54"/>
      <c r="D622" s="53"/>
      <c r="E622" s="119"/>
      <c r="F622" s="49"/>
      <c r="G622" s="55"/>
      <c r="H622" s="55"/>
    </row>
    <row r="623" spans="3:8" ht="16.5" x14ac:dyDescent="0.25">
      <c r="C623" s="54"/>
      <c r="D623" s="53"/>
      <c r="E623" s="119"/>
      <c r="F623" s="49"/>
      <c r="G623" s="55"/>
      <c r="H623" s="55"/>
    </row>
    <row r="624" spans="3:8" ht="16.5" x14ac:dyDescent="0.25">
      <c r="C624" s="54"/>
      <c r="D624" s="53"/>
      <c r="E624" s="119"/>
      <c r="F624" s="49"/>
      <c r="G624" s="55"/>
      <c r="H624" s="55"/>
    </row>
    <row r="625" spans="3:8" ht="16.5" x14ac:dyDescent="0.25">
      <c r="C625" s="54"/>
      <c r="D625" s="53"/>
      <c r="E625" s="119"/>
      <c r="F625" s="49"/>
      <c r="G625" s="55"/>
      <c r="H625" s="55"/>
    </row>
    <row r="626" spans="3:8" ht="16.5" x14ac:dyDescent="0.25">
      <c r="C626" s="54"/>
      <c r="D626" s="53"/>
      <c r="E626" s="119"/>
      <c r="F626" s="49"/>
      <c r="G626" s="55"/>
      <c r="H626" s="55"/>
    </row>
    <row r="627" spans="3:8" ht="16.5" x14ac:dyDescent="0.25">
      <c r="C627" s="54"/>
      <c r="D627" s="53"/>
      <c r="E627" s="119"/>
      <c r="F627" s="49"/>
      <c r="G627" s="55"/>
      <c r="H627" s="55"/>
    </row>
    <row r="628" spans="3:8" ht="16.5" x14ac:dyDescent="0.25">
      <c r="C628" s="54"/>
      <c r="D628" s="53"/>
      <c r="E628" s="119"/>
      <c r="F628" s="49"/>
      <c r="G628" s="55"/>
      <c r="H628" s="55"/>
    </row>
    <row r="629" spans="3:8" ht="16.5" x14ac:dyDescent="0.25">
      <c r="C629" s="54"/>
      <c r="D629" s="53"/>
      <c r="E629" s="119"/>
      <c r="F629" s="49"/>
      <c r="G629" s="55"/>
      <c r="H629" s="55"/>
    </row>
    <row r="630" spans="3:8" ht="16.5" x14ac:dyDescent="0.25">
      <c r="C630" s="54"/>
      <c r="D630" s="53"/>
      <c r="E630" s="119"/>
      <c r="F630" s="49"/>
      <c r="G630" s="55"/>
      <c r="H630" s="55"/>
    </row>
    <row r="631" spans="3:8" ht="16.5" x14ac:dyDescent="0.25">
      <c r="C631" s="54"/>
      <c r="D631" s="53"/>
      <c r="E631" s="119"/>
      <c r="F631" s="49"/>
      <c r="G631" s="55"/>
      <c r="H631" s="55"/>
    </row>
    <row r="632" spans="3:8" ht="16.5" x14ac:dyDescent="0.25">
      <c r="C632" s="54"/>
      <c r="D632" s="53"/>
      <c r="E632" s="119"/>
      <c r="F632" s="49"/>
      <c r="G632" s="55"/>
      <c r="H632" s="55"/>
    </row>
    <row r="633" spans="3:8" ht="16.5" x14ac:dyDescent="0.25">
      <c r="C633" s="54"/>
      <c r="D633" s="53"/>
      <c r="E633" s="119"/>
      <c r="F633" s="49"/>
      <c r="G633" s="55"/>
      <c r="H633" s="55"/>
    </row>
    <row r="634" spans="3:8" ht="16.5" x14ac:dyDescent="0.25">
      <c r="C634" s="54"/>
      <c r="D634" s="53"/>
      <c r="E634" s="119"/>
      <c r="F634" s="49"/>
      <c r="G634" s="55"/>
      <c r="H634" s="55"/>
    </row>
    <row r="635" spans="3:8" ht="16.5" x14ac:dyDescent="0.25">
      <c r="C635" s="54"/>
      <c r="D635" s="53"/>
      <c r="E635" s="119"/>
      <c r="F635" s="49"/>
      <c r="G635" s="55"/>
      <c r="H635" s="55"/>
    </row>
    <row r="636" spans="3:8" ht="16.5" x14ac:dyDescent="0.25">
      <c r="C636" s="54"/>
      <c r="D636" s="53"/>
      <c r="E636" s="119"/>
      <c r="F636" s="49"/>
      <c r="G636" s="55"/>
      <c r="H636" s="55"/>
    </row>
    <row r="637" spans="3:8" ht="16.5" x14ac:dyDescent="0.25">
      <c r="C637" s="54"/>
      <c r="D637" s="53"/>
      <c r="E637" s="119"/>
      <c r="F637" s="49"/>
      <c r="G637" s="55"/>
      <c r="H637" s="55"/>
    </row>
    <row r="638" spans="3:8" ht="16.5" x14ac:dyDescent="0.25">
      <c r="C638" s="54"/>
      <c r="D638" s="53"/>
      <c r="E638" s="119"/>
      <c r="F638" s="49"/>
      <c r="G638" s="55"/>
      <c r="H638" s="55"/>
    </row>
    <row r="639" spans="3:8" ht="16.5" x14ac:dyDescent="0.25">
      <c r="C639" s="54"/>
      <c r="D639" s="53"/>
      <c r="E639" s="119"/>
      <c r="F639" s="49"/>
      <c r="G639" s="55"/>
      <c r="H639" s="55"/>
    </row>
    <row r="640" spans="3:8" ht="16.5" x14ac:dyDescent="0.25">
      <c r="C640" s="54"/>
      <c r="D640" s="53"/>
      <c r="E640" s="119"/>
      <c r="F640" s="49"/>
      <c r="G640" s="55"/>
      <c r="H640" s="55"/>
    </row>
    <row r="641" spans="3:8" ht="16.5" x14ac:dyDescent="0.25">
      <c r="C641" s="54"/>
      <c r="D641" s="53"/>
      <c r="E641" s="119"/>
      <c r="F641" s="49"/>
      <c r="G641" s="55"/>
      <c r="H641" s="55"/>
    </row>
    <row r="642" spans="3:8" ht="16.5" x14ac:dyDescent="0.25">
      <c r="C642" s="54"/>
      <c r="D642" s="53"/>
      <c r="E642" s="119"/>
      <c r="F642" s="49"/>
      <c r="G642" s="55"/>
      <c r="H642" s="55"/>
    </row>
    <row r="643" spans="3:8" ht="16.5" x14ac:dyDescent="0.25">
      <c r="C643" s="54"/>
      <c r="D643" s="53"/>
      <c r="E643" s="119"/>
      <c r="F643" s="49"/>
      <c r="G643" s="55"/>
      <c r="H643" s="55"/>
    </row>
    <row r="644" spans="3:8" ht="16.5" x14ac:dyDescent="0.25">
      <c r="C644" s="54"/>
      <c r="D644" s="53"/>
      <c r="E644" s="119"/>
      <c r="F644" s="49"/>
      <c r="G644" s="55"/>
      <c r="H644" s="55"/>
    </row>
    <row r="645" spans="3:8" ht="16.5" x14ac:dyDescent="0.25">
      <c r="C645" s="54"/>
      <c r="D645" s="53"/>
      <c r="E645" s="119"/>
      <c r="F645" s="49"/>
      <c r="G645" s="55"/>
      <c r="H645" s="55"/>
    </row>
    <row r="646" spans="3:8" ht="16.5" x14ac:dyDescent="0.25">
      <c r="C646" s="54"/>
      <c r="D646" s="53"/>
      <c r="E646" s="119"/>
      <c r="F646" s="49"/>
      <c r="G646" s="55"/>
      <c r="H646" s="55"/>
    </row>
    <row r="647" spans="3:8" ht="16.5" x14ac:dyDescent="0.25">
      <c r="C647" s="54"/>
      <c r="D647" s="53"/>
      <c r="E647" s="119"/>
      <c r="F647" s="49"/>
      <c r="G647" s="55"/>
      <c r="H647" s="55"/>
    </row>
    <row r="648" spans="3:8" ht="16.5" x14ac:dyDescent="0.25">
      <c r="C648" s="54"/>
      <c r="D648" s="53"/>
      <c r="E648" s="119"/>
      <c r="F648" s="49"/>
      <c r="G648" s="55"/>
      <c r="H648" s="55"/>
    </row>
    <row r="649" spans="3:8" ht="15.75" x14ac:dyDescent="0.25">
      <c r="C649" s="56"/>
      <c r="D649" s="57"/>
      <c r="E649" s="119"/>
      <c r="F649" s="58"/>
      <c r="G649" s="59"/>
      <c r="H649" s="59"/>
    </row>
    <row r="650" spans="3:8" ht="15.75" x14ac:dyDescent="0.25">
      <c r="C650" s="56"/>
      <c r="D650" s="57"/>
      <c r="E650" s="119"/>
      <c r="F650" s="58"/>
      <c r="G650" s="59"/>
      <c r="H650" s="59"/>
    </row>
    <row r="651" spans="3:8" ht="15.75" x14ac:dyDescent="0.25">
      <c r="C651" s="56"/>
      <c r="D651" s="57"/>
      <c r="E651" s="119"/>
      <c r="F651" s="58"/>
      <c r="G651" s="59"/>
      <c r="H651" s="59"/>
    </row>
    <row r="652" spans="3:8" ht="15.75" x14ac:dyDescent="0.25">
      <c r="C652" s="56"/>
      <c r="D652" s="57"/>
      <c r="E652" s="119"/>
      <c r="F652" s="58"/>
      <c r="G652" s="59"/>
      <c r="H652" s="59"/>
    </row>
    <row r="653" spans="3:8" ht="15.75" x14ac:dyDescent="0.25">
      <c r="C653" s="56"/>
      <c r="D653" s="57"/>
      <c r="E653" s="119"/>
      <c r="F653" s="58"/>
      <c r="G653" s="59"/>
      <c r="H653" s="59"/>
    </row>
    <row r="654" spans="3:8" ht="16.5" x14ac:dyDescent="0.25">
      <c r="C654" s="56"/>
      <c r="D654" s="57"/>
      <c r="E654" s="120"/>
      <c r="F654" s="58"/>
      <c r="G654" s="59"/>
      <c r="H654" s="59"/>
    </row>
    <row r="655" spans="3:8" ht="16.5" x14ac:dyDescent="0.25">
      <c r="C655" s="56"/>
      <c r="D655" s="57"/>
      <c r="E655" s="121"/>
      <c r="F655" s="58"/>
      <c r="G655" s="59"/>
      <c r="H655" s="59"/>
    </row>
    <row r="656" spans="3:8" ht="16.5" x14ac:dyDescent="0.25">
      <c r="C656" s="56"/>
      <c r="D656" s="57"/>
      <c r="E656" s="121"/>
      <c r="F656" s="58"/>
      <c r="G656" s="59"/>
      <c r="H656" s="59"/>
    </row>
    <row r="657" spans="3:8" ht="16.5" x14ac:dyDescent="0.25">
      <c r="C657" s="56"/>
      <c r="D657" s="57"/>
      <c r="E657" s="121"/>
      <c r="F657" s="58"/>
      <c r="G657" s="59"/>
      <c r="H657" s="59"/>
    </row>
    <row r="658" spans="3:8" ht="16.5" x14ac:dyDescent="0.25">
      <c r="C658" s="56"/>
      <c r="D658" s="57"/>
      <c r="E658" s="121"/>
      <c r="F658" s="58"/>
      <c r="G658" s="59"/>
      <c r="H658" s="59"/>
    </row>
    <row r="659" spans="3:8" ht="16.5" x14ac:dyDescent="0.25">
      <c r="C659" s="56"/>
      <c r="D659" s="57"/>
      <c r="E659" s="121"/>
      <c r="F659" s="58"/>
      <c r="G659" s="59"/>
      <c r="H659" s="59"/>
    </row>
    <row r="660" spans="3:8" ht="16.5" x14ac:dyDescent="0.25">
      <c r="C660" s="56"/>
      <c r="D660" s="60"/>
      <c r="E660" s="121"/>
      <c r="F660" s="59"/>
      <c r="G660" s="59"/>
      <c r="H660" s="59"/>
    </row>
    <row r="661" spans="3:8" ht="16.5" x14ac:dyDescent="0.25">
      <c r="C661" s="56"/>
      <c r="D661" s="60"/>
      <c r="E661" s="121"/>
      <c r="F661" s="59"/>
      <c r="G661" s="59"/>
      <c r="H661" s="59"/>
    </row>
    <row r="662" spans="3:8" ht="16.5" x14ac:dyDescent="0.25">
      <c r="C662" s="56"/>
      <c r="D662" s="60"/>
      <c r="E662" s="121"/>
      <c r="F662" s="59"/>
      <c r="G662" s="59"/>
      <c r="H662" s="59"/>
    </row>
    <row r="663" spans="3:8" ht="16.5" x14ac:dyDescent="0.25">
      <c r="C663" s="56"/>
      <c r="D663" s="60"/>
      <c r="E663" s="121"/>
      <c r="F663" s="59"/>
      <c r="G663" s="59"/>
      <c r="H663" s="59"/>
    </row>
    <row r="664" spans="3:8" ht="16.5" x14ac:dyDescent="0.25">
      <c r="C664" s="56"/>
      <c r="D664" s="60"/>
      <c r="E664" s="121"/>
      <c r="F664" s="59"/>
      <c r="G664" s="59"/>
      <c r="H664" s="59"/>
    </row>
    <row r="665" spans="3:8" ht="16.5" x14ac:dyDescent="0.25">
      <c r="C665" s="56"/>
      <c r="D665" s="60"/>
      <c r="E665" s="121"/>
      <c r="F665" s="59"/>
      <c r="G665" s="59"/>
      <c r="H665" s="59"/>
    </row>
    <row r="666" spans="3:8" ht="16.5" x14ac:dyDescent="0.25">
      <c r="C666" s="56"/>
      <c r="D666" s="60"/>
      <c r="E666" s="121"/>
      <c r="F666" s="59"/>
      <c r="G666" s="59"/>
      <c r="H666" s="59"/>
    </row>
    <row r="667" spans="3:8" ht="16.5" x14ac:dyDescent="0.25">
      <c r="C667" s="56"/>
      <c r="D667" s="60"/>
      <c r="E667" s="121"/>
      <c r="F667" s="59"/>
      <c r="G667" s="59"/>
      <c r="H667" s="59"/>
    </row>
    <row r="668" spans="3:8" ht="16.5" x14ac:dyDescent="0.25">
      <c r="C668" s="56"/>
      <c r="D668" s="60"/>
      <c r="E668" s="121"/>
      <c r="F668" s="59"/>
      <c r="G668" s="59"/>
      <c r="H668" s="59"/>
    </row>
    <row r="669" spans="3:8" ht="16.5" x14ac:dyDescent="0.25">
      <c r="C669" s="56"/>
      <c r="D669" s="60"/>
      <c r="E669" s="121"/>
      <c r="F669" s="59"/>
      <c r="G669" s="59"/>
      <c r="H669" s="59"/>
    </row>
    <row r="670" spans="3:8" ht="16.5" x14ac:dyDescent="0.25">
      <c r="C670" s="56"/>
      <c r="D670" s="60"/>
      <c r="E670" s="121"/>
      <c r="F670" s="59"/>
      <c r="G670" s="59"/>
      <c r="H670" s="59"/>
    </row>
    <row r="671" spans="3:8" ht="16.5" x14ac:dyDescent="0.25">
      <c r="C671" s="56"/>
      <c r="D671" s="60"/>
      <c r="E671" s="121"/>
      <c r="F671" s="59"/>
      <c r="G671" s="59"/>
      <c r="H671" s="59"/>
    </row>
    <row r="672" spans="3:8" ht="16.5" x14ac:dyDescent="0.25">
      <c r="C672" s="56"/>
      <c r="D672" s="60"/>
      <c r="E672" s="121"/>
      <c r="F672" s="59"/>
      <c r="G672" s="59"/>
      <c r="H672" s="59"/>
    </row>
    <row r="673" spans="3:8" ht="16.5" x14ac:dyDescent="0.25">
      <c r="C673" s="56"/>
      <c r="D673" s="60"/>
      <c r="E673" s="121"/>
      <c r="F673" s="59"/>
      <c r="G673" s="59"/>
      <c r="H673" s="59"/>
    </row>
    <row r="674" spans="3:8" ht="16.5" x14ac:dyDescent="0.25">
      <c r="C674" s="56"/>
      <c r="D674" s="60"/>
      <c r="E674" s="121"/>
      <c r="F674" s="59"/>
      <c r="G674" s="59"/>
      <c r="H674" s="59"/>
    </row>
    <row r="675" spans="3:8" ht="16.5" x14ac:dyDescent="0.25">
      <c r="C675" s="56"/>
      <c r="D675" s="60"/>
      <c r="E675" s="121"/>
      <c r="F675" s="59"/>
      <c r="G675" s="59"/>
      <c r="H675" s="59"/>
    </row>
    <row r="676" spans="3:8" ht="16.5" x14ac:dyDescent="0.25">
      <c r="C676" s="56"/>
      <c r="D676" s="60"/>
      <c r="E676" s="120"/>
      <c r="F676" s="59"/>
      <c r="G676" s="59"/>
      <c r="H676" s="59"/>
    </row>
    <row r="677" spans="3:8" ht="16.5" x14ac:dyDescent="0.25">
      <c r="C677" s="56"/>
      <c r="D677" s="60"/>
      <c r="E677" s="121"/>
      <c r="F677" s="59"/>
      <c r="G677" s="59"/>
      <c r="H677" s="59"/>
    </row>
    <row r="678" spans="3:8" ht="16.5" x14ac:dyDescent="0.25">
      <c r="C678" s="56"/>
      <c r="D678" s="60"/>
      <c r="E678" s="121"/>
      <c r="F678" s="59"/>
      <c r="G678" s="59"/>
      <c r="H678" s="59"/>
    </row>
    <row r="679" spans="3:8" ht="16.5" x14ac:dyDescent="0.25">
      <c r="C679" s="56"/>
      <c r="D679" s="60"/>
      <c r="E679" s="121"/>
      <c r="F679" s="59"/>
      <c r="G679" s="59"/>
      <c r="H679" s="59"/>
    </row>
    <row r="680" spans="3:8" ht="16.5" x14ac:dyDescent="0.25">
      <c r="C680" s="56"/>
      <c r="D680" s="60"/>
      <c r="E680" s="121"/>
      <c r="F680" s="59"/>
      <c r="G680" s="59"/>
      <c r="H680" s="59"/>
    </row>
    <row r="681" spans="3:8" ht="16.5" x14ac:dyDescent="0.25">
      <c r="C681" s="56"/>
      <c r="D681" s="60"/>
      <c r="E681" s="121"/>
      <c r="F681" s="59"/>
      <c r="G681" s="59"/>
      <c r="H681" s="59"/>
    </row>
    <row r="682" spans="3:8" ht="16.5" x14ac:dyDescent="0.25">
      <c r="C682" s="56"/>
      <c r="D682" s="60"/>
      <c r="E682" s="121"/>
      <c r="F682" s="59"/>
      <c r="G682" s="59"/>
      <c r="H682" s="59"/>
    </row>
    <row r="683" spans="3:8" ht="16.5" x14ac:dyDescent="0.25">
      <c r="C683" s="56"/>
      <c r="D683" s="60"/>
      <c r="E683" s="121"/>
      <c r="F683" s="59"/>
      <c r="G683" s="59"/>
      <c r="H683" s="59"/>
    </row>
    <row r="684" spans="3:8" ht="16.5" x14ac:dyDescent="0.25">
      <c r="C684" s="56"/>
      <c r="D684" s="60"/>
      <c r="E684" s="121"/>
      <c r="F684" s="59"/>
      <c r="G684" s="59"/>
      <c r="H684" s="59"/>
    </row>
    <row r="685" spans="3:8" ht="16.5" x14ac:dyDescent="0.25">
      <c r="C685" s="56"/>
      <c r="D685" s="60"/>
      <c r="E685" s="121"/>
      <c r="F685" s="59"/>
      <c r="G685" s="59"/>
      <c r="H685" s="59"/>
    </row>
    <row r="686" spans="3:8" ht="16.5" x14ac:dyDescent="0.25">
      <c r="C686" s="56"/>
      <c r="D686" s="60"/>
      <c r="E686" s="121"/>
      <c r="F686" s="59"/>
      <c r="G686" s="59"/>
      <c r="H686" s="59"/>
    </row>
    <row r="687" spans="3:8" ht="16.5" x14ac:dyDescent="0.25">
      <c r="C687" s="56"/>
      <c r="D687" s="60"/>
      <c r="E687" s="121"/>
      <c r="F687" s="59"/>
      <c r="G687" s="59"/>
      <c r="H687" s="59"/>
    </row>
    <row r="688" spans="3:8" ht="16.5" x14ac:dyDescent="0.25">
      <c r="C688" s="56"/>
      <c r="D688" s="60"/>
      <c r="E688" s="121"/>
      <c r="F688" s="59"/>
      <c r="G688" s="59"/>
      <c r="H688" s="59"/>
    </row>
    <row r="689" spans="3:8" ht="16.5" x14ac:dyDescent="0.25">
      <c r="C689" s="56"/>
      <c r="D689" s="60"/>
      <c r="E689" s="121"/>
      <c r="F689" s="59"/>
      <c r="G689" s="59"/>
      <c r="H689" s="59"/>
    </row>
    <row r="690" spans="3:8" ht="16.5" x14ac:dyDescent="0.25">
      <c r="C690" s="56"/>
      <c r="D690" s="60"/>
      <c r="E690" s="121"/>
      <c r="F690" s="59"/>
      <c r="G690" s="59"/>
      <c r="H690" s="59"/>
    </row>
    <row r="691" spans="3:8" ht="16.5" x14ac:dyDescent="0.25">
      <c r="C691" s="56"/>
      <c r="D691" s="60"/>
      <c r="E691" s="121"/>
      <c r="F691" s="59"/>
      <c r="G691" s="59"/>
      <c r="H691" s="59"/>
    </row>
    <row r="692" spans="3:8" ht="16.5" x14ac:dyDescent="0.25">
      <c r="C692" s="56"/>
      <c r="D692" s="60"/>
      <c r="E692" s="121"/>
      <c r="F692" s="59"/>
      <c r="G692" s="59"/>
      <c r="H692" s="59"/>
    </row>
    <row r="693" spans="3:8" ht="16.5" x14ac:dyDescent="0.25">
      <c r="C693" s="56"/>
      <c r="D693" s="60"/>
      <c r="E693" s="121"/>
      <c r="F693" s="59"/>
      <c r="G693" s="59"/>
      <c r="H693" s="59"/>
    </row>
    <row r="694" spans="3:8" ht="16.5" x14ac:dyDescent="0.25">
      <c r="C694" s="56"/>
      <c r="D694" s="60"/>
      <c r="E694" s="121"/>
      <c r="F694" s="59"/>
      <c r="G694" s="59"/>
      <c r="H694" s="59"/>
    </row>
    <row r="695" spans="3:8" ht="16.5" x14ac:dyDescent="0.25">
      <c r="C695" s="56"/>
      <c r="D695" s="60"/>
      <c r="E695" s="121"/>
      <c r="F695" s="59"/>
      <c r="G695" s="59"/>
      <c r="H695" s="59"/>
    </row>
    <row r="696" spans="3:8" ht="16.5" x14ac:dyDescent="0.25">
      <c r="C696" s="56"/>
      <c r="D696" s="60"/>
      <c r="E696" s="121"/>
      <c r="F696" s="59"/>
      <c r="G696" s="59"/>
      <c r="H696" s="59"/>
    </row>
    <row r="697" spans="3:8" ht="16.5" x14ac:dyDescent="0.25">
      <c r="C697" s="56"/>
      <c r="D697" s="60"/>
      <c r="E697" s="121"/>
      <c r="F697" s="59"/>
      <c r="G697" s="59"/>
      <c r="H697" s="59"/>
    </row>
    <row r="698" spans="3:8" ht="16.5" x14ac:dyDescent="0.25">
      <c r="C698" s="56"/>
      <c r="D698" s="60"/>
      <c r="E698" s="121"/>
      <c r="F698" s="59"/>
      <c r="G698" s="59"/>
      <c r="H698" s="59"/>
    </row>
    <row r="699" spans="3:8" ht="16.5" x14ac:dyDescent="0.25">
      <c r="C699" s="56"/>
      <c r="D699" s="60"/>
      <c r="E699" s="121"/>
      <c r="F699" s="59"/>
      <c r="G699" s="59"/>
      <c r="H699" s="59"/>
    </row>
    <row r="700" spans="3:8" ht="16.5" x14ac:dyDescent="0.25">
      <c r="C700" s="56"/>
      <c r="D700" s="60"/>
      <c r="E700" s="121"/>
      <c r="F700" s="59"/>
      <c r="G700" s="59"/>
      <c r="H700" s="59"/>
    </row>
    <row r="701" spans="3:8" ht="16.5" x14ac:dyDescent="0.25">
      <c r="C701" s="56"/>
      <c r="D701" s="60"/>
      <c r="E701" s="121"/>
      <c r="F701" s="59"/>
      <c r="G701" s="59"/>
      <c r="H701" s="59"/>
    </row>
    <row r="702" spans="3:8" ht="16.5" x14ac:dyDescent="0.25">
      <c r="C702" s="56"/>
      <c r="D702" s="60"/>
      <c r="E702" s="121"/>
      <c r="F702" s="59"/>
      <c r="G702" s="59"/>
      <c r="H702" s="59"/>
    </row>
    <row r="703" spans="3:8" ht="16.5" x14ac:dyDescent="0.25">
      <c r="C703" s="56"/>
      <c r="D703" s="60"/>
      <c r="E703" s="121"/>
      <c r="F703" s="59"/>
      <c r="G703" s="59"/>
      <c r="H703" s="59"/>
    </row>
    <row r="704" spans="3:8" ht="16.5" x14ac:dyDescent="0.25">
      <c r="C704" s="56"/>
      <c r="D704" s="60"/>
      <c r="E704" s="121"/>
      <c r="F704" s="59"/>
      <c r="G704" s="59"/>
      <c r="H704" s="59"/>
    </row>
    <row r="705" spans="3:8" ht="16.5" x14ac:dyDescent="0.25">
      <c r="C705" s="56"/>
      <c r="D705" s="60"/>
      <c r="E705" s="121"/>
      <c r="F705" s="59"/>
      <c r="G705" s="59"/>
      <c r="H705" s="59"/>
    </row>
    <row r="706" spans="3:8" ht="16.5" x14ac:dyDescent="0.25">
      <c r="C706" s="56"/>
      <c r="D706" s="60"/>
      <c r="E706" s="121"/>
      <c r="F706" s="59"/>
      <c r="G706" s="59"/>
      <c r="H706" s="59"/>
    </row>
    <row r="707" spans="3:8" ht="16.5" x14ac:dyDescent="0.25">
      <c r="C707" s="56"/>
      <c r="D707" s="60"/>
      <c r="E707" s="121"/>
      <c r="F707" s="59"/>
      <c r="G707" s="59"/>
      <c r="H707" s="59"/>
    </row>
    <row r="708" spans="3:8" ht="16.5" x14ac:dyDescent="0.25">
      <c r="C708" s="56"/>
      <c r="D708" s="60"/>
      <c r="E708" s="121"/>
      <c r="F708" s="59"/>
      <c r="G708" s="59"/>
      <c r="H708" s="59"/>
    </row>
    <row r="709" spans="3:8" ht="16.5" x14ac:dyDescent="0.25">
      <c r="C709" s="56"/>
      <c r="D709" s="60"/>
      <c r="E709" s="121"/>
      <c r="F709" s="59"/>
      <c r="G709" s="59"/>
      <c r="H709" s="59"/>
    </row>
    <row r="710" spans="3:8" ht="16.5" x14ac:dyDescent="0.25">
      <c r="C710" s="56"/>
      <c r="D710" s="60"/>
      <c r="E710" s="121"/>
      <c r="F710" s="59"/>
      <c r="G710" s="59"/>
      <c r="H710" s="59"/>
    </row>
    <row r="711" spans="3:8" ht="16.5" x14ac:dyDescent="0.25">
      <c r="C711" s="56"/>
      <c r="D711" s="60"/>
      <c r="E711" s="121"/>
      <c r="F711" s="59"/>
      <c r="G711" s="59"/>
      <c r="H711" s="59"/>
    </row>
    <row r="712" spans="3:8" ht="16.5" x14ac:dyDescent="0.25">
      <c r="C712" s="56"/>
      <c r="D712" s="60"/>
      <c r="E712" s="121"/>
      <c r="F712" s="59"/>
      <c r="G712" s="59"/>
      <c r="H712" s="59"/>
    </row>
    <row r="713" spans="3:8" ht="16.5" x14ac:dyDescent="0.25">
      <c r="C713" s="56"/>
      <c r="D713" s="60"/>
      <c r="E713" s="121"/>
      <c r="F713" s="59"/>
      <c r="G713" s="59"/>
      <c r="H713" s="59"/>
    </row>
    <row r="714" spans="3:8" ht="16.5" x14ac:dyDescent="0.25">
      <c r="C714" s="56"/>
      <c r="D714" s="60"/>
      <c r="E714" s="121"/>
      <c r="F714" s="59"/>
      <c r="G714" s="59"/>
      <c r="H714" s="59"/>
    </row>
    <row r="715" spans="3:8" ht="16.5" x14ac:dyDescent="0.25">
      <c r="C715" s="56"/>
      <c r="D715" s="60"/>
      <c r="E715" s="121"/>
      <c r="F715" s="59"/>
      <c r="G715" s="59"/>
      <c r="H715" s="59"/>
    </row>
    <row r="716" spans="3:8" ht="15.75" x14ac:dyDescent="0.25">
      <c r="C716" s="56"/>
      <c r="D716" s="60"/>
      <c r="E716" s="119"/>
      <c r="F716" s="59"/>
      <c r="G716" s="59"/>
      <c r="H716" s="59"/>
    </row>
    <row r="717" spans="3:8" ht="15.75" x14ac:dyDescent="0.25">
      <c r="C717" s="56"/>
      <c r="D717" s="60"/>
      <c r="E717" s="119"/>
      <c r="F717" s="59"/>
      <c r="G717" s="59"/>
      <c r="H717" s="59"/>
    </row>
    <row r="718" spans="3:8" ht="15.75" x14ac:dyDescent="0.25">
      <c r="C718" s="56"/>
      <c r="D718" s="60"/>
      <c r="E718" s="119"/>
      <c r="F718" s="59"/>
      <c r="G718" s="59"/>
      <c r="H718" s="59"/>
    </row>
    <row r="719" spans="3:8" ht="15.75" x14ac:dyDescent="0.25">
      <c r="C719" s="56"/>
      <c r="D719" s="60"/>
      <c r="E719" s="119"/>
      <c r="F719" s="59"/>
      <c r="G719" s="59"/>
      <c r="H719" s="59"/>
    </row>
    <row r="720" spans="3:8" ht="15.75" x14ac:dyDescent="0.25">
      <c r="C720" s="56"/>
      <c r="D720" s="60"/>
      <c r="E720" s="119"/>
      <c r="F720" s="59"/>
      <c r="G720" s="59"/>
      <c r="H720" s="59"/>
    </row>
    <row r="721" spans="3:8" ht="15.75" x14ac:dyDescent="0.25">
      <c r="C721" s="56"/>
      <c r="D721" s="60"/>
      <c r="E721" s="119"/>
      <c r="F721" s="59"/>
      <c r="G721" s="59"/>
      <c r="H721" s="59"/>
    </row>
    <row r="722" spans="3:8" ht="15.75" x14ac:dyDescent="0.25">
      <c r="C722" s="56"/>
      <c r="D722" s="60"/>
      <c r="E722" s="119"/>
      <c r="F722" s="59"/>
      <c r="G722" s="59"/>
      <c r="H722" s="59"/>
    </row>
    <row r="723" spans="3:8" ht="15.75" x14ac:dyDescent="0.25">
      <c r="C723" s="56"/>
      <c r="D723" s="60"/>
      <c r="E723" s="119"/>
      <c r="F723" s="59"/>
      <c r="G723" s="59"/>
      <c r="H723" s="59"/>
    </row>
    <row r="724" spans="3:8" ht="15.75" x14ac:dyDescent="0.25">
      <c r="C724" s="56"/>
      <c r="D724" s="60"/>
      <c r="E724" s="119"/>
      <c r="F724" s="59"/>
      <c r="G724" s="59"/>
      <c r="H724" s="59"/>
    </row>
    <row r="725" spans="3:8" ht="15.75" x14ac:dyDescent="0.25">
      <c r="C725" s="56"/>
      <c r="D725" s="60"/>
      <c r="E725" s="119"/>
      <c r="F725" s="59"/>
      <c r="G725" s="59"/>
      <c r="H725" s="59"/>
    </row>
    <row r="726" spans="3:8" ht="15.75" x14ac:dyDescent="0.25">
      <c r="C726" s="56"/>
      <c r="D726" s="60"/>
      <c r="E726" s="119"/>
      <c r="F726" s="59"/>
      <c r="G726" s="59"/>
      <c r="H726" s="59"/>
    </row>
    <row r="727" spans="3:8" ht="15.75" x14ac:dyDescent="0.25">
      <c r="C727" s="56"/>
      <c r="D727" s="60"/>
      <c r="E727" s="119"/>
      <c r="F727" s="59"/>
      <c r="G727" s="59"/>
      <c r="H727" s="59"/>
    </row>
    <row r="728" spans="3:8" ht="15.75" x14ac:dyDescent="0.25">
      <c r="C728" s="56"/>
      <c r="D728" s="60"/>
      <c r="E728" s="119"/>
      <c r="F728" s="59"/>
      <c r="G728" s="59"/>
      <c r="H728" s="59"/>
    </row>
    <row r="729" spans="3:8" ht="15.75" x14ac:dyDescent="0.25">
      <c r="C729" s="56"/>
      <c r="D729" s="60"/>
      <c r="E729" s="119"/>
      <c r="F729" s="59"/>
      <c r="G729" s="59"/>
      <c r="H729" s="59"/>
    </row>
    <row r="730" spans="3:8" ht="15.75" x14ac:dyDescent="0.25">
      <c r="C730" s="56"/>
      <c r="D730" s="60"/>
      <c r="E730" s="119"/>
      <c r="F730" s="59"/>
      <c r="G730" s="59"/>
      <c r="H730" s="59"/>
    </row>
    <row r="731" spans="3:8" ht="15.75" x14ac:dyDescent="0.25">
      <c r="C731" s="56"/>
      <c r="D731" s="60"/>
      <c r="E731" s="119"/>
      <c r="F731" s="59"/>
      <c r="G731" s="59"/>
      <c r="H731" s="59"/>
    </row>
    <row r="732" spans="3:8" ht="15.75" x14ac:dyDescent="0.25">
      <c r="C732" s="56"/>
      <c r="D732" s="60"/>
      <c r="E732" s="119"/>
      <c r="F732" s="59"/>
      <c r="G732" s="59"/>
      <c r="H732" s="59"/>
    </row>
    <row r="733" spans="3:8" ht="15.75" x14ac:dyDescent="0.25">
      <c r="C733" s="56"/>
      <c r="D733" s="60"/>
      <c r="E733" s="119"/>
      <c r="F733" s="59"/>
      <c r="G733" s="59"/>
      <c r="H733" s="59"/>
    </row>
    <row r="734" spans="3:8" ht="15.75" x14ac:dyDescent="0.25">
      <c r="C734" s="56"/>
      <c r="D734" s="60"/>
      <c r="E734" s="119"/>
      <c r="F734" s="59"/>
      <c r="G734" s="59"/>
      <c r="H734" s="59"/>
    </row>
    <row r="735" spans="3:8" ht="15.75" x14ac:dyDescent="0.25">
      <c r="C735" s="56"/>
      <c r="D735" s="60"/>
      <c r="E735" s="119"/>
      <c r="F735" s="59"/>
      <c r="G735" s="59"/>
      <c r="H735" s="59"/>
    </row>
    <row r="736" spans="3:8" ht="15.75" x14ac:dyDescent="0.25">
      <c r="C736" s="56"/>
      <c r="D736" s="60"/>
      <c r="E736" s="119"/>
      <c r="F736" s="59"/>
      <c r="G736" s="59"/>
      <c r="H736" s="59"/>
    </row>
    <row r="737" spans="3:8" ht="15.75" x14ac:dyDescent="0.25">
      <c r="C737" s="56"/>
      <c r="D737" s="60"/>
      <c r="E737" s="119"/>
      <c r="F737" s="59"/>
      <c r="G737" s="59"/>
      <c r="H737" s="59"/>
    </row>
    <row r="738" spans="3:8" ht="15.75" x14ac:dyDescent="0.25">
      <c r="C738" s="56"/>
      <c r="D738" s="60"/>
      <c r="E738" s="119"/>
      <c r="F738" s="59"/>
      <c r="G738" s="59"/>
      <c r="H738" s="59"/>
    </row>
    <row r="739" spans="3:8" ht="15.75" x14ac:dyDescent="0.25">
      <c r="C739" s="56"/>
      <c r="D739" s="60"/>
      <c r="E739" s="119"/>
      <c r="F739" s="59"/>
      <c r="G739" s="59"/>
      <c r="H739" s="59"/>
    </row>
    <row r="740" spans="3:8" ht="15.75" x14ac:dyDescent="0.25">
      <c r="C740" s="56"/>
      <c r="D740" s="60"/>
      <c r="E740" s="119"/>
      <c r="F740" s="59"/>
      <c r="G740" s="59"/>
      <c r="H740" s="59"/>
    </row>
    <row r="741" spans="3:8" ht="15.75" x14ac:dyDescent="0.25">
      <c r="C741" s="56"/>
      <c r="D741" s="60"/>
      <c r="E741" s="119"/>
      <c r="F741" s="59"/>
      <c r="G741" s="59"/>
      <c r="H741" s="59"/>
    </row>
    <row r="742" spans="3:8" ht="15.75" x14ac:dyDescent="0.25">
      <c r="C742" s="56"/>
      <c r="D742" s="60"/>
      <c r="E742" s="119"/>
      <c r="F742" s="59"/>
      <c r="G742" s="59"/>
      <c r="H742" s="59"/>
    </row>
    <row r="743" spans="3:8" ht="15.75" x14ac:dyDescent="0.25">
      <c r="C743" s="56"/>
      <c r="D743" s="60"/>
      <c r="E743" s="119"/>
      <c r="F743" s="59"/>
      <c r="G743" s="59"/>
      <c r="H743" s="59"/>
    </row>
    <row r="744" spans="3:8" ht="15.75" x14ac:dyDescent="0.25">
      <c r="C744" s="56"/>
      <c r="D744" s="60"/>
      <c r="E744" s="119"/>
      <c r="F744" s="59"/>
      <c r="G744" s="59"/>
      <c r="H744" s="59"/>
    </row>
    <row r="745" spans="3:8" ht="15.75" x14ac:dyDescent="0.25">
      <c r="C745" s="56"/>
      <c r="D745" s="60"/>
      <c r="E745" s="119"/>
      <c r="F745" s="59"/>
      <c r="G745" s="59"/>
      <c r="H745" s="59"/>
    </row>
    <row r="746" spans="3:8" ht="15.75" x14ac:dyDescent="0.25">
      <c r="C746" s="56"/>
      <c r="D746" s="60"/>
      <c r="E746" s="119"/>
      <c r="F746" s="59"/>
      <c r="G746" s="59"/>
      <c r="H746" s="59"/>
    </row>
    <row r="747" spans="3:8" ht="15.75" x14ac:dyDescent="0.25">
      <c r="C747" s="56"/>
      <c r="D747" s="60"/>
      <c r="E747" s="119"/>
      <c r="F747" s="59"/>
      <c r="G747" s="59"/>
      <c r="H747" s="59"/>
    </row>
    <row r="748" spans="3:8" ht="15.75" x14ac:dyDescent="0.25">
      <c r="C748" s="56"/>
      <c r="D748" s="60"/>
      <c r="E748" s="108"/>
      <c r="F748" s="59"/>
      <c r="G748" s="59"/>
      <c r="H748" s="59"/>
    </row>
    <row r="749" spans="3:8" ht="15.75" x14ac:dyDescent="0.25">
      <c r="C749" s="56"/>
      <c r="D749" s="60"/>
      <c r="E749" s="108"/>
      <c r="F749" s="59"/>
      <c r="G749" s="59"/>
      <c r="H749" s="59"/>
    </row>
    <row r="750" spans="3:8" ht="15.75" x14ac:dyDescent="0.25">
      <c r="C750" s="56"/>
      <c r="D750" s="60"/>
      <c r="E750" s="108"/>
      <c r="F750" s="59"/>
      <c r="G750" s="59"/>
      <c r="H750" s="59"/>
    </row>
    <row r="751" spans="3:8" ht="15.75" x14ac:dyDescent="0.25">
      <c r="C751" s="56"/>
      <c r="D751" s="60"/>
      <c r="E751" s="108"/>
      <c r="F751" s="59"/>
      <c r="G751" s="59"/>
      <c r="H751" s="59"/>
    </row>
    <row r="752" spans="3:8" ht="15.75" x14ac:dyDescent="0.25">
      <c r="C752" s="56"/>
      <c r="D752" s="60"/>
      <c r="E752" s="108"/>
      <c r="F752" s="59"/>
      <c r="G752" s="59"/>
      <c r="H752" s="59"/>
    </row>
    <row r="753" spans="3:8" ht="15.75" x14ac:dyDescent="0.25">
      <c r="C753" s="56"/>
      <c r="D753" s="60"/>
      <c r="E753" s="108"/>
      <c r="F753" s="59"/>
      <c r="G753" s="59"/>
      <c r="H753" s="59"/>
    </row>
    <row r="754" spans="3:8" ht="15.75" x14ac:dyDescent="0.25">
      <c r="C754" s="56"/>
      <c r="D754" s="60"/>
      <c r="E754" s="108"/>
      <c r="F754" s="59"/>
      <c r="G754" s="59"/>
      <c r="H754" s="59"/>
    </row>
    <row r="755" spans="3:8" ht="15.75" x14ac:dyDescent="0.25">
      <c r="C755" s="56"/>
      <c r="D755" s="60"/>
      <c r="E755" s="108"/>
      <c r="F755" s="59"/>
      <c r="G755" s="59"/>
      <c r="H755" s="59"/>
    </row>
    <row r="756" spans="3:8" ht="15.75" x14ac:dyDescent="0.25">
      <c r="C756" s="56"/>
      <c r="D756" s="60"/>
      <c r="E756" s="108"/>
      <c r="F756" s="59"/>
      <c r="G756" s="59"/>
      <c r="H756" s="59"/>
    </row>
    <row r="757" spans="3:8" ht="15.75" x14ac:dyDescent="0.25">
      <c r="C757" s="56"/>
      <c r="D757" s="60"/>
      <c r="E757" s="108"/>
      <c r="F757" s="59"/>
      <c r="G757" s="59"/>
      <c r="H757" s="59"/>
    </row>
    <row r="758" spans="3:8" ht="15.75" x14ac:dyDescent="0.25">
      <c r="C758" s="56"/>
      <c r="D758" s="60"/>
      <c r="E758" s="108"/>
      <c r="F758" s="59"/>
      <c r="G758" s="59"/>
      <c r="H758" s="59"/>
    </row>
    <row r="759" spans="3:8" ht="15.75" x14ac:dyDescent="0.25">
      <c r="C759" s="56"/>
      <c r="D759" s="60"/>
      <c r="E759" s="108"/>
      <c r="F759" s="59"/>
      <c r="G759" s="59"/>
      <c r="H759" s="59"/>
    </row>
    <row r="760" spans="3:8" ht="15.75" x14ac:dyDescent="0.25">
      <c r="C760" s="56"/>
      <c r="D760" s="60"/>
      <c r="E760" s="108"/>
      <c r="F760" s="59"/>
      <c r="G760" s="59"/>
      <c r="H760" s="59"/>
    </row>
    <row r="761" spans="3:8" ht="15.75" x14ac:dyDescent="0.25">
      <c r="C761" s="56"/>
      <c r="D761" s="60"/>
      <c r="E761" s="108"/>
      <c r="F761" s="59"/>
      <c r="G761" s="59"/>
      <c r="H761" s="59"/>
    </row>
    <row r="762" spans="3:8" ht="15.75" x14ac:dyDescent="0.25">
      <c r="C762" s="56"/>
      <c r="D762" s="60"/>
      <c r="E762" s="108"/>
      <c r="F762" s="59"/>
      <c r="G762" s="59"/>
      <c r="H762" s="59"/>
    </row>
    <row r="763" spans="3:8" ht="15.75" x14ac:dyDescent="0.25">
      <c r="C763" s="56"/>
      <c r="D763" s="60"/>
      <c r="E763" s="108"/>
      <c r="F763" s="59"/>
      <c r="G763" s="59"/>
      <c r="H763" s="59"/>
    </row>
    <row r="764" spans="3:8" ht="15.75" x14ac:dyDescent="0.25">
      <c r="C764" s="56"/>
      <c r="D764" s="60"/>
      <c r="E764" s="119"/>
      <c r="F764" s="59"/>
      <c r="G764" s="59"/>
      <c r="H764" s="59"/>
    </row>
    <row r="765" spans="3:8" ht="15.75" x14ac:dyDescent="0.25">
      <c r="C765" s="56"/>
      <c r="D765" s="60"/>
      <c r="E765" s="108"/>
      <c r="F765" s="59"/>
      <c r="G765" s="59"/>
      <c r="H765" s="59"/>
    </row>
    <row r="766" spans="3:8" ht="15.75" x14ac:dyDescent="0.25">
      <c r="C766" s="56"/>
      <c r="D766" s="60"/>
      <c r="E766" s="108"/>
      <c r="F766" s="59"/>
      <c r="G766" s="59"/>
      <c r="H766" s="59"/>
    </row>
    <row r="767" spans="3:8" ht="15.75" x14ac:dyDescent="0.25">
      <c r="C767" s="56"/>
      <c r="D767" s="60"/>
      <c r="E767" s="108"/>
      <c r="F767" s="59"/>
      <c r="G767" s="59"/>
      <c r="H767" s="59"/>
    </row>
    <row r="768" spans="3:8" ht="15.75" x14ac:dyDescent="0.25">
      <c r="C768" s="56"/>
      <c r="D768" s="60"/>
      <c r="E768" s="108"/>
      <c r="F768" s="59"/>
      <c r="G768" s="59"/>
      <c r="H768" s="59"/>
    </row>
    <row r="769" spans="3:8" ht="15.75" x14ac:dyDescent="0.25">
      <c r="C769" s="56"/>
      <c r="D769" s="60"/>
      <c r="E769" s="108"/>
      <c r="F769" s="59"/>
      <c r="G769" s="59"/>
      <c r="H769" s="59"/>
    </row>
    <row r="770" spans="3:8" ht="15.75" x14ac:dyDescent="0.25">
      <c r="C770" s="56"/>
      <c r="D770" s="60"/>
      <c r="E770" s="108"/>
      <c r="F770" s="59"/>
      <c r="G770" s="59"/>
      <c r="H770" s="59"/>
    </row>
    <row r="771" spans="3:8" ht="15.75" x14ac:dyDescent="0.25">
      <c r="C771" s="56"/>
      <c r="D771" s="60"/>
      <c r="E771" s="108"/>
      <c r="F771" s="59"/>
      <c r="G771" s="59"/>
      <c r="H771" s="59"/>
    </row>
    <row r="772" spans="3:8" ht="15.75" x14ac:dyDescent="0.25">
      <c r="C772" s="56"/>
      <c r="D772" s="60"/>
      <c r="E772" s="108"/>
      <c r="F772" s="59"/>
      <c r="G772" s="59"/>
      <c r="H772" s="59"/>
    </row>
    <row r="773" spans="3:8" ht="15.75" x14ac:dyDescent="0.25">
      <c r="C773" s="56"/>
      <c r="D773" s="60"/>
      <c r="E773" s="108"/>
      <c r="F773" s="59"/>
      <c r="G773" s="59"/>
      <c r="H773" s="59"/>
    </row>
    <row r="774" spans="3:8" ht="15.75" x14ac:dyDescent="0.25">
      <c r="C774" s="56"/>
      <c r="D774" s="60"/>
      <c r="E774" s="108"/>
      <c r="F774" s="59"/>
      <c r="G774" s="59"/>
      <c r="H774" s="59"/>
    </row>
    <row r="775" spans="3:8" ht="15.75" x14ac:dyDescent="0.25">
      <c r="C775" s="56"/>
      <c r="D775" s="60"/>
      <c r="E775" s="108"/>
      <c r="F775" s="59"/>
      <c r="G775" s="59"/>
      <c r="H775" s="59"/>
    </row>
    <row r="776" spans="3:8" ht="15.75" x14ac:dyDescent="0.25">
      <c r="C776" s="56"/>
      <c r="D776" s="60"/>
      <c r="E776" s="108"/>
      <c r="F776" s="59"/>
      <c r="G776" s="59"/>
      <c r="H776" s="59"/>
    </row>
    <row r="777" spans="3:8" ht="15.75" x14ac:dyDescent="0.25">
      <c r="C777" s="56"/>
      <c r="D777" s="60"/>
      <c r="E777" s="108"/>
      <c r="F777" s="59"/>
      <c r="G777" s="59"/>
      <c r="H777" s="59"/>
    </row>
    <row r="778" spans="3:8" ht="15.75" x14ac:dyDescent="0.25">
      <c r="C778" s="56"/>
      <c r="D778" s="60"/>
      <c r="E778" s="108"/>
      <c r="F778" s="59"/>
      <c r="G778" s="59"/>
      <c r="H778" s="59"/>
    </row>
    <row r="779" spans="3:8" ht="15.75" x14ac:dyDescent="0.25">
      <c r="C779" s="56"/>
      <c r="D779" s="60"/>
      <c r="E779" s="108"/>
      <c r="F779" s="59"/>
      <c r="G779" s="59"/>
      <c r="H779" s="59"/>
    </row>
    <row r="780" spans="3:8" ht="15.75" x14ac:dyDescent="0.25">
      <c r="C780" s="56"/>
      <c r="D780" s="60"/>
      <c r="E780" s="108"/>
      <c r="F780" s="59"/>
      <c r="G780" s="59"/>
      <c r="H780" s="59"/>
    </row>
    <row r="781" spans="3:8" ht="15.75" x14ac:dyDescent="0.25">
      <c r="C781" s="56"/>
      <c r="D781" s="60"/>
      <c r="E781" s="108"/>
      <c r="F781" s="59"/>
      <c r="G781" s="59"/>
      <c r="H781" s="59"/>
    </row>
    <row r="782" spans="3:8" ht="15.75" x14ac:dyDescent="0.25">
      <c r="C782" s="56"/>
      <c r="D782" s="60"/>
      <c r="E782" s="108"/>
      <c r="F782" s="59"/>
      <c r="G782" s="59"/>
      <c r="H782" s="59"/>
    </row>
    <row r="783" spans="3:8" ht="15.75" x14ac:dyDescent="0.25">
      <c r="C783" s="56"/>
      <c r="D783" s="60"/>
      <c r="E783" s="108"/>
      <c r="F783" s="59"/>
      <c r="G783" s="59"/>
      <c r="H783" s="59"/>
    </row>
    <row r="784" spans="3:8" ht="15.75" x14ac:dyDescent="0.25">
      <c r="C784" s="56"/>
      <c r="D784" s="60"/>
      <c r="E784" s="108"/>
      <c r="F784" s="59"/>
      <c r="G784" s="59"/>
      <c r="H784" s="59"/>
    </row>
    <row r="785" spans="3:8" ht="15.75" x14ac:dyDescent="0.25">
      <c r="C785" s="56"/>
      <c r="D785" s="60"/>
      <c r="E785" s="108"/>
      <c r="F785" s="59"/>
      <c r="G785" s="59"/>
      <c r="H785" s="59"/>
    </row>
    <row r="786" spans="3:8" ht="15.75" x14ac:dyDescent="0.25">
      <c r="C786" s="56"/>
      <c r="D786" s="60"/>
      <c r="E786" s="108"/>
      <c r="F786" s="59"/>
      <c r="G786" s="59"/>
      <c r="H786" s="59"/>
    </row>
    <row r="787" spans="3:8" ht="15.75" x14ac:dyDescent="0.25">
      <c r="C787" s="56"/>
      <c r="D787" s="60"/>
      <c r="E787" s="108"/>
      <c r="F787" s="59"/>
      <c r="G787" s="59"/>
      <c r="H787" s="59"/>
    </row>
    <row r="788" spans="3:8" ht="15.75" x14ac:dyDescent="0.25">
      <c r="C788" s="56"/>
      <c r="D788" s="60"/>
      <c r="E788" s="108"/>
      <c r="F788" s="59"/>
      <c r="G788" s="59"/>
      <c r="H788" s="59"/>
    </row>
    <row r="789" spans="3:8" ht="15.75" x14ac:dyDescent="0.25">
      <c r="C789" s="56"/>
      <c r="D789" s="60"/>
      <c r="E789" s="108"/>
      <c r="F789" s="59"/>
      <c r="G789" s="59"/>
      <c r="H789" s="59"/>
    </row>
    <row r="790" spans="3:8" ht="15.75" x14ac:dyDescent="0.25">
      <c r="C790" s="56"/>
      <c r="D790" s="60"/>
      <c r="E790" s="108"/>
      <c r="F790" s="59"/>
      <c r="G790" s="59"/>
      <c r="H790" s="59"/>
    </row>
    <row r="791" spans="3:8" ht="15.75" x14ac:dyDescent="0.25">
      <c r="C791" s="56"/>
      <c r="D791" s="60"/>
      <c r="E791" s="108"/>
      <c r="F791" s="59"/>
      <c r="G791" s="59"/>
      <c r="H791" s="59"/>
    </row>
    <row r="792" spans="3:8" ht="15.75" x14ac:dyDescent="0.25">
      <c r="C792" s="56"/>
      <c r="D792" s="60"/>
      <c r="E792" s="108"/>
      <c r="F792" s="59"/>
      <c r="G792" s="59"/>
      <c r="H792" s="59"/>
    </row>
    <row r="793" spans="3:8" ht="15.75" x14ac:dyDescent="0.25">
      <c r="C793" s="56"/>
      <c r="D793" s="60"/>
      <c r="E793" s="108"/>
      <c r="F793" s="59"/>
      <c r="G793" s="59"/>
      <c r="H793" s="59"/>
    </row>
    <row r="794" spans="3:8" ht="15.75" x14ac:dyDescent="0.25">
      <c r="C794" s="56"/>
      <c r="D794" s="60"/>
      <c r="E794" s="108"/>
      <c r="F794" s="59"/>
      <c r="G794" s="59"/>
      <c r="H794" s="59"/>
    </row>
    <row r="795" spans="3:8" ht="15.75" x14ac:dyDescent="0.25">
      <c r="C795" s="56"/>
      <c r="D795" s="60"/>
      <c r="E795" s="108"/>
      <c r="F795" s="59"/>
      <c r="G795" s="59"/>
      <c r="H795" s="59"/>
    </row>
    <row r="796" spans="3:8" ht="15.75" x14ac:dyDescent="0.25">
      <c r="C796" s="56"/>
      <c r="D796" s="60"/>
      <c r="E796" s="108"/>
      <c r="F796" s="59"/>
      <c r="G796" s="59"/>
      <c r="H796" s="59"/>
    </row>
    <row r="797" spans="3:8" ht="15.75" x14ac:dyDescent="0.25">
      <c r="C797" s="56"/>
      <c r="D797" s="60"/>
      <c r="E797" s="108"/>
      <c r="F797" s="59"/>
      <c r="G797" s="59"/>
      <c r="H797" s="59"/>
    </row>
    <row r="798" spans="3:8" ht="15.75" x14ac:dyDescent="0.25">
      <c r="C798" s="56"/>
      <c r="D798" s="60"/>
      <c r="E798" s="108"/>
      <c r="F798" s="59"/>
      <c r="G798" s="59"/>
      <c r="H798" s="59"/>
    </row>
    <row r="799" spans="3:8" ht="15.75" x14ac:dyDescent="0.25">
      <c r="C799" s="56"/>
      <c r="D799" s="60"/>
      <c r="E799" s="108"/>
      <c r="F799" s="59"/>
      <c r="G799" s="59"/>
      <c r="H799" s="59"/>
    </row>
    <row r="800" spans="3:8" ht="15.75" x14ac:dyDescent="0.25">
      <c r="C800" s="56"/>
      <c r="D800" s="60"/>
      <c r="E800" s="119"/>
      <c r="F800" s="59"/>
      <c r="G800" s="59"/>
      <c r="H800" s="59"/>
    </row>
    <row r="801" spans="3:8" ht="15.75" x14ac:dyDescent="0.25">
      <c r="C801" s="56"/>
      <c r="D801" s="60"/>
      <c r="E801" s="119"/>
      <c r="F801" s="59"/>
      <c r="G801" s="59"/>
      <c r="H801" s="59"/>
    </row>
    <row r="802" spans="3:8" ht="15.75" x14ac:dyDescent="0.25">
      <c r="C802" s="56"/>
      <c r="D802" s="60"/>
      <c r="E802" s="119"/>
      <c r="F802" s="59"/>
      <c r="G802" s="59"/>
      <c r="H802" s="59"/>
    </row>
    <row r="803" spans="3:8" ht="15.75" x14ac:dyDescent="0.25">
      <c r="C803" s="56"/>
      <c r="D803" s="60"/>
      <c r="E803" s="119"/>
      <c r="F803" s="59"/>
      <c r="G803" s="59"/>
      <c r="H803" s="59"/>
    </row>
    <row r="804" spans="3:8" ht="15.75" x14ac:dyDescent="0.25">
      <c r="C804" s="56"/>
      <c r="D804" s="60"/>
      <c r="E804" s="119"/>
      <c r="F804" s="59"/>
      <c r="G804" s="59"/>
      <c r="H804" s="59"/>
    </row>
    <row r="805" spans="3:8" ht="15.75" x14ac:dyDescent="0.25">
      <c r="C805" s="56"/>
      <c r="D805" s="60"/>
      <c r="E805" s="119"/>
      <c r="F805" s="59"/>
      <c r="G805" s="59"/>
      <c r="H805" s="59"/>
    </row>
    <row r="806" spans="3:8" ht="15.75" x14ac:dyDescent="0.25">
      <c r="C806" s="56"/>
      <c r="D806" s="60"/>
      <c r="E806" s="119"/>
      <c r="F806" s="59"/>
      <c r="G806" s="59"/>
      <c r="H806" s="59"/>
    </row>
    <row r="807" spans="3:8" ht="15.75" x14ac:dyDescent="0.25">
      <c r="C807" s="56"/>
      <c r="D807" s="60"/>
      <c r="E807" s="119"/>
      <c r="F807" s="59"/>
      <c r="G807" s="59"/>
      <c r="H807" s="59"/>
    </row>
    <row r="808" spans="3:8" ht="15.75" x14ac:dyDescent="0.25">
      <c r="C808" s="56"/>
      <c r="D808" s="60"/>
      <c r="E808" s="119"/>
      <c r="F808" s="59"/>
      <c r="G808" s="59"/>
      <c r="H808" s="59"/>
    </row>
    <row r="809" spans="3:8" ht="15.75" x14ac:dyDescent="0.25">
      <c r="C809" s="56"/>
      <c r="D809" s="60"/>
      <c r="E809" s="119"/>
      <c r="F809" s="59"/>
      <c r="G809" s="59"/>
      <c r="H809" s="59"/>
    </row>
    <row r="810" spans="3:8" ht="15.75" x14ac:dyDescent="0.25">
      <c r="C810" s="56"/>
      <c r="D810" s="60"/>
      <c r="E810" s="119"/>
      <c r="F810" s="59"/>
      <c r="G810" s="59"/>
      <c r="H810" s="59"/>
    </row>
    <row r="811" spans="3:8" ht="15.75" x14ac:dyDescent="0.25">
      <c r="C811" s="56"/>
      <c r="D811" s="60"/>
      <c r="E811" s="119"/>
      <c r="F811" s="59"/>
      <c r="G811" s="59"/>
      <c r="H811" s="59"/>
    </row>
    <row r="812" spans="3:8" ht="15.75" x14ac:dyDescent="0.25">
      <c r="C812" s="56"/>
      <c r="D812" s="60"/>
      <c r="E812" s="119"/>
      <c r="F812" s="59"/>
      <c r="G812" s="59"/>
      <c r="H812" s="59"/>
    </row>
    <row r="813" spans="3:8" ht="15.75" x14ac:dyDescent="0.25">
      <c r="C813" s="56"/>
      <c r="D813" s="60"/>
      <c r="E813" s="119"/>
      <c r="F813" s="59"/>
      <c r="G813" s="59"/>
      <c r="H813" s="59"/>
    </row>
    <row r="814" spans="3:8" ht="15.75" x14ac:dyDescent="0.25">
      <c r="C814" s="56"/>
      <c r="D814" s="60"/>
      <c r="E814" s="119"/>
      <c r="F814" s="59"/>
      <c r="G814" s="59"/>
      <c r="H814" s="59"/>
    </row>
    <row r="815" spans="3:8" ht="15.75" x14ac:dyDescent="0.25">
      <c r="C815" s="56"/>
      <c r="D815" s="60"/>
      <c r="E815" s="119"/>
      <c r="F815" s="59"/>
      <c r="G815" s="59"/>
      <c r="H815" s="59"/>
    </row>
    <row r="816" spans="3:8" ht="15.75" x14ac:dyDescent="0.25">
      <c r="C816" s="56"/>
      <c r="D816" s="60"/>
      <c r="E816" s="119"/>
      <c r="F816" s="59"/>
      <c r="G816" s="59"/>
      <c r="H816" s="59"/>
    </row>
    <row r="817" spans="3:8" ht="15.75" x14ac:dyDescent="0.25">
      <c r="C817" s="56"/>
      <c r="D817" s="60"/>
      <c r="E817" s="119"/>
      <c r="F817" s="59"/>
      <c r="G817" s="59"/>
      <c r="H817" s="59"/>
    </row>
    <row r="818" spans="3:8" ht="15.75" x14ac:dyDescent="0.25">
      <c r="C818" s="56"/>
      <c r="D818" s="60"/>
      <c r="E818" s="119"/>
      <c r="F818" s="59"/>
      <c r="G818" s="59"/>
      <c r="H818" s="59"/>
    </row>
    <row r="819" spans="3:8" ht="15.75" x14ac:dyDescent="0.25">
      <c r="C819" s="56"/>
      <c r="D819" s="60"/>
      <c r="E819" s="119"/>
      <c r="F819" s="59"/>
      <c r="G819" s="59"/>
      <c r="H819" s="59"/>
    </row>
    <row r="820" spans="3:8" ht="15.75" x14ac:dyDescent="0.25">
      <c r="C820" s="56"/>
      <c r="D820" s="60"/>
      <c r="E820" s="119"/>
      <c r="F820" s="59"/>
      <c r="G820" s="59"/>
      <c r="H820" s="59"/>
    </row>
    <row r="821" spans="3:8" ht="15.75" x14ac:dyDescent="0.25">
      <c r="C821" s="56"/>
      <c r="D821" s="60"/>
      <c r="E821" s="119"/>
      <c r="F821" s="59"/>
      <c r="G821" s="59"/>
      <c r="H821" s="59"/>
    </row>
    <row r="822" spans="3:8" ht="15.75" x14ac:dyDescent="0.25">
      <c r="C822" s="56"/>
      <c r="D822" s="60"/>
      <c r="E822" s="119"/>
      <c r="F822" s="59"/>
      <c r="G822" s="59"/>
      <c r="H822" s="59"/>
    </row>
    <row r="823" spans="3:8" ht="15.75" x14ac:dyDescent="0.25">
      <c r="C823" s="56"/>
      <c r="D823" s="60"/>
      <c r="E823" s="119"/>
      <c r="F823" s="59"/>
      <c r="G823" s="59"/>
      <c r="H823" s="59"/>
    </row>
    <row r="824" spans="3:8" ht="15.75" x14ac:dyDescent="0.25">
      <c r="C824" s="56"/>
      <c r="D824" s="60"/>
      <c r="E824" s="119"/>
      <c r="F824" s="59"/>
      <c r="G824" s="59"/>
      <c r="H824" s="59"/>
    </row>
    <row r="825" spans="3:8" ht="15.75" x14ac:dyDescent="0.25">
      <c r="C825" s="56"/>
      <c r="D825" s="60"/>
      <c r="E825" s="119"/>
      <c r="F825" s="59"/>
      <c r="G825" s="59"/>
      <c r="H825" s="59"/>
    </row>
    <row r="826" spans="3:8" ht="15.75" x14ac:dyDescent="0.25">
      <c r="C826" s="56"/>
      <c r="D826" s="60"/>
      <c r="E826" s="119"/>
      <c r="F826" s="59"/>
      <c r="G826" s="59"/>
      <c r="H826" s="59"/>
    </row>
    <row r="827" spans="3:8" ht="15.75" x14ac:dyDescent="0.25">
      <c r="C827" s="56"/>
      <c r="D827" s="60"/>
      <c r="E827" s="119"/>
      <c r="F827" s="59"/>
      <c r="G827" s="59"/>
      <c r="H827" s="59"/>
    </row>
    <row r="828" spans="3:8" ht="15.75" x14ac:dyDescent="0.25">
      <c r="C828" s="56"/>
      <c r="D828" s="60"/>
      <c r="E828" s="119"/>
      <c r="F828" s="59"/>
      <c r="G828" s="59"/>
      <c r="H828" s="59"/>
    </row>
    <row r="829" spans="3:8" ht="15.75" x14ac:dyDescent="0.25">
      <c r="C829" s="56"/>
      <c r="D829" s="60"/>
      <c r="E829" s="119"/>
      <c r="F829" s="59"/>
      <c r="G829" s="59"/>
      <c r="H829" s="59"/>
    </row>
    <row r="830" spans="3:8" ht="15.75" x14ac:dyDescent="0.25">
      <c r="C830" s="56"/>
      <c r="D830" s="60"/>
      <c r="E830" s="119"/>
      <c r="F830" s="59"/>
      <c r="G830" s="59"/>
      <c r="H830" s="59"/>
    </row>
    <row r="831" spans="3:8" ht="15.75" x14ac:dyDescent="0.25">
      <c r="C831" s="56"/>
      <c r="D831" s="60"/>
      <c r="E831" s="119"/>
      <c r="F831" s="59"/>
      <c r="G831" s="59"/>
      <c r="H831" s="59"/>
    </row>
    <row r="832" spans="3:8" ht="15.75" x14ac:dyDescent="0.25">
      <c r="C832" s="56"/>
      <c r="D832" s="60"/>
      <c r="E832" s="119"/>
      <c r="F832" s="59"/>
      <c r="G832" s="59"/>
      <c r="H832" s="59"/>
    </row>
    <row r="833" spans="3:8" ht="15.75" x14ac:dyDescent="0.25">
      <c r="C833" s="56"/>
      <c r="D833" s="60"/>
      <c r="E833" s="119"/>
      <c r="F833" s="59"/>
      <c r="G833" s="59"/>
      <c r="H833" s="59"/>
    </row>
    <row r="834" spans="3:8" ht="15.75" x14ac:dyDescent="0.25">
      <c r="C834" s="56"/>
      <c r="D834" s="60"/>
      <c r="E834" s="119"/>
      <c r="F834" s="59"/>
      <c r="G834" s="59"/>
      <c r="H834" s="59"/>
    </row>
    <row r="835" spans="3:8" ht="15.75" x14ac:dyDescent="0.25">
      <c r="C835" s="56"/>
      <c r="D835" s="60"/>
      <c r="E835" s="119"/>
      <c r="F835" s="59"/>
      <c r="G835" s="59"/>
      <c r="H835" s="59"/>
    </row>
    <row r="836" spans="3:8" ht="15.75" x14ac:dyDescent="0.25">
      <c r="C836" s="56"/>
      <c r="D836" s="60"/>
      <c r="E836" s="119"/>
      <c r="F836" s="59"/>
      <c r="G836" s="59"/>
      <c r="H836" s="59"/>
    </row>
    <row r="837" spans="3:8" ht="15.75" x14ac:dyDescent="0.25">
      <c r="C837" s="56"/>
      <c r="D837" s="60"/>
      <c r="E837" s="119"/>
      <c r="F837" s="59"/>
      <c r="G837" s="59"/>
      <c r="H837" s="59"/>
    </row>
    <row r="838" spans="3:8" ht="15.75" x14ac:dyDescent="0.25">
      <c r="C838" s="56"/>
      <c r="D838" s="60"/>
      <c r="E838" s="119"/>
      <c r="F838" s="59"/>
      <c r="G838" s="59"/>
      <c r="H838" s="59"/>
    </row>
    <row r="839" spans="3:8" ht="15.75" x14ac:dyDescent="0.25">
      <c r="C839" s="56"/>
      <c r="D839" s="60"/>
      <c r="E839" s="119"/>
      <c r="F839" s="59"/>
      <c r="G839" s="59"/>
      <c r="H839" s="59"/>
    </row>
    <row r="840" spans="3:8" ht="15.75" x14ac:dyDescent="0.25">
      <c r="C840" s="56"/>
      <c r="D840" s="60"/>
      <c r="E840" s="119"/>
      <c r="F840" s="59"/>
      <c r="G840" s="59"/>
      <c r="H840" s="59"/>
    </row>
    <row r="841" spans="3:8" ht="15.75" x14ac:dyDescent="0.25">
      <c r="C841" s="56"/>
      <c r="D841" s="60"/>
      <c r="E841" s="119"/>
      <c r="F841" s="59"/>
      <c r="G841" s="59"/>
      <c r="H841" s="59"/>
    </row>
    <row r="842" spans="3:8" ht="15.75" x14ac:dyDescent="0.25">
      <c r="C842" s="56"/>
      <c r="D842" s="60"/>
      <c r="E842" s="119"/>
      <c r="F842" s="59"/>
      <c r="G842" s="59"/>
      <c r="H842" s="59"/>
    </row>
    <row r="843" spans="3:8" ht="15.75" x14ac:dyDescent="0.25">
      <c r="C843" s="56"/>
      <c r="D843" s="60"/>
      <c r="E843" s="119"/>
      <c r="F843" s="59"/>
      <c r="G843" s="59"/>
      <c r="H843" s="59"/>
    </row>
    <row r="844" spans="3:8" ht="15.75" x14ac:dyDescent="0.25">
      <c r="C844" s="56"/>
      <c r="D844" s="60"/>
      <c r="E844" s="119"/>
      <c r="F844" s="59"/>
      <c r="G844" s="59"/>
      <c r="H844" s="59"/>
    </row>
    <row r="845" spans="3:8" ht="15.75" x14ac:dyDescent="0.25">
      <c r="C845" s="56"/>
      <c r="D845" s="60"/>
      <c r="E845" s="119"/>
      <c r="F845" s="59"/>
      <c r="G845" s="59"/>
      <c r="H845" s="59"/>
    </row>
    <row r="846" spans="3:8" ht="15.75" x14ac:dyDescent="0.25">
      <c r="C846" s="56"/>
      <c r="D846" s="60"/>
      <c r="E846" s="119"/>
      <c r="F846" s="59"/>
      <c r="G846" s="59"/>
      <c r="H846" s="59"/>
    </row>
    <row r="847" spans="3:8" ht="15.75" x14ac:dyDescent="0.25">
      <c r="C847" s="56"/>
      <c r="D847" s="60"/>
      <c r="E847" s="119"/>
      <c r="F847" s="59"/>
      <c r="G847" s="59"/>
      <c r="H847" s="59"/>
    </row>
    <row r="848" spans="3:8" ht="15.75" x14ac:dyDescent="0.25">
      <c r="C848" s="56"/>
      <c r="D848" s="60"/>
      <c r="E848" s="119"/>
      <c r="F848" s="59"/>
      <c r="G848" s="59"/>
      <c r="H848" s="59"/>
    </row>
    <row r="849" spans="3:8" ht="15.75" x14ac:dyDescent="0.25">
      <c r="C849" s="56"/>
      <c r="D849" s="60"/>
      <c r="E849" s="119"/>
      <c r="F849" s="59"/>
      <c r="G849" s="59"/>
      <c r="H849" s="59"/>
    </row>
    <row r="850" spans="3:8" ht="15.75" x14ac:dyDescent="0.25">
      <c r="C850" s="56"/>
      <c r="D850" s="60"/>
      <c r="E850" s="119"/>
      <c r="F850" s="59"/>
      <c r="G850" s="59"/>
      <c r="H850" s="59"/>
    </row>
    <row r="851" spans="3:8" ht="15.75" x14ac:dyDescent="0.25">
      <c r="C851" s="56"/>
      <c r="D851" s="60"/>
      <c r="E851" s="119"/>
      <c r="F851" s="59"/>
      <c r="G851" s="59"/>
      <c r="H851" s="59"/>
    </row>
    <row r="852" spans="3:8" ht="15.75" x14ac:dyDescent="0.25">
      <c r="C852" s="56"/>
      <c r="D852" s="60"/>
      <c r="E852" s="119"/>
      <c r="F852" s="59"/>
      <c r="G852" s="59"/>
      <c r="H852" s="59"/>
    </row>
    <row r="853" spans="3:8" ht="15.75" x14ac:dyDescent="0.25">
      <c r="C853" s="56"/>
      <c r="D853" s="60"/>
      <c r="E853" s="109"/>
      <c r="F853" s="59"/>
      <c r="G853" s="59"/>
      <c r="H853" s="59"/>
    </row>
    <row r="854" spans="3:8" ht="15.75" x14ac:dyDescent="0.25">
      <c r="C854" s="56"/>
      <c r="D854" s="60"/>
      <c r="E854" s="109"/>
      <c r="F854" s="59"/>
      <c r="G854" s="59"/>
      <c r="H854" s="59"/>
    </row>
    <row r="855" spans="3:8" ht="15.75" x14ac:dyDescent="0.25">
      <c r="C855" s="56"/>
      <c r="D855" s="60"/>
      <c r="E855" s="109"/>
      <c r="F855" s="59"/>
      <c r="G855" s="59"/>
      <c r="H855" s="59"/>
    </row>
    <row r="856" spans="3:8" ht="15.75" x14ac:dyDescent="0.25">
      <c r="C856" s="56"/>
      <c r="D856" s="60"/>
      <c r="E856" s="109"/>
      <c r="F856" s="59"/>
      <c r="G856" s="59"/>
      <c r="H856" s="59"/>
    </row>
    <row r="857" spans="3:8" ht="15.75" x14ac:dyDescent="0.25">
      <c r="C857" s="56"/>
      <c r="D857" s="60"/>
      <c r="E857" s="109"/>
      <c r="F857" s="59"/>
      <c r="G857" s="59"/>
      <c r="H857" s="59"/>
    </row>
    <row r="858" spans="3:8" ht="15.75" x14ac:dyDescent="0.25">
      <c r="C858" s="56"/>
      <c r="D858" s="60"/>
      <c r="E858" s="109"/>
      <c r="F858" s="59"/>
      <c r="G858" s="59"/>
      <c r="H858" s="59"/>
    </row>
    <row r="859" spans="3:8" ht="15.75" x14ac:dyDescent="0.25">
      <c r="C859" s="56"/>
      <c r="D859" s="60"/>
      <c r="E859" s="109"/>
      <c r="F859" s="59"/>
      <c r="G859" s="59"/>
      <c r="H859" s="59"/>
    </row>
    <row r="860" spans="3:8" ht="15.75" x14ac:dyDescent="0.25">
      <c r="C860" s="56"/>
      <c r="D860" s="60"/>
      <c r="E860" s="109"/>
      <c r="F860" s="59"/>
      <c r="G860" s="59"/>
      <c r="H860" s="59"/>
    </row>
    <row r="861" spans="3:8" ht="15.75" x14ac:dyDescent="0.25">
      <c r="C861" s="56"/>
      <c r="D861" s="60"/>
      <c r="E861" s="109"/>
      <c r="F861" s="59"/>
      <c r="G861" s="59"/>
      <c r="H861" s="59"/>
    </row>
    <row r="862" spans="3:8" ht="15.75" x14ac:dyDescent="0.25">
      <c r="C862" s="56"/>
      <c r="D862" s="60"/>
      <c r="E862" s="109"/>
      <c r="F862" s="59"/>
      <c r="G862" s="59"/>
      <c r="H862" s="59"/>
    </row>
    <row r="863" spans="3:8" ht="15.75" x14ac:dyDescent="0.25">
      <c r="C863" s="56"/>
      <c r="D863" s="60"/>
      <c r="E863" s="109"/>
      <c r="F863" s="59"/>
      <c r="G863" s="59"/>
      <c r="H863" s="59"/>
    </row>
    <row r="864" spans="3:8" ht="15.75" x14ac:dyDescent="0.25">
      <c r="C864" s="56"/>
      <c r="D864" s="60"/>
      <c r="E864" s="109"/>
      <c r="F864" s="59"/>
      <c r="G864" s="59"/>
      <c r="H864" s="59"/>
    </row>
    <row r="865" spans="3:8" ht="15.75" x14ac:dyDescent="0.25">
      <c r="C865" s="56"/>
      <c r="D865" s="60"/>
      <c r="E865" s="109"/>
      <c r="F865" s="59"/>
      <c r="G865" s="59"/>
      <c r="H865" s="59"/>
    </row>
    <row r="866" spans="3:8" ht="15.75" x14ac:dyDescent="0.25">
      <c r="C866" s="56"/>
      <c r="D866" s="60"/>
      <c r="E866" s="109"/>
      <c r="F866" s="59"/>
      <c r="G866" s="59"/>
      <c r="H866" s="59"/>
    </row>
    <row r="867" spans="3:8" ht="15.75" x14ac:dyDescent="0.25">
      <c r="C867" s="56"/>
      <c r="D867" s="60"/>
      <c r="E867" s="109"/>
      <c r="F867" s="59"/>
      <c r="G867" s="59"/>
      <c r="H867" s="59"/>
    </row>
    <row r="868" spans="3:8" ht="15.75" x14ac:dyDescent="0.25">
      <c r="C868" s="56"/>
      <c r="D868" s="60"/>
      <c r="E868" s="109"/>
      <c r="F868" s="59"/>
      <c r="G868" s="59"/>
      <c r="H868" s="59"/>
    </row>
    <row r="869" spans="3:8" ht="15.75" x14ac:dyDescent="0.25">
      <c r="C869" s="56"/>
      <c r="D869" s="60"/>
      <c r="E869" s="109"/>
      <c r="F869" s="59"/>
      <c r="G869" s="59"/>
      <c r="H869" s="59"/>
    </row>
    <row r="870" spans="3:8" ht="15.75" x14ac:dyDescent="0.25">
      <c r="C870" s="56"/>
      <c r="D870" s="60"/>
      <c r="E870" s="109"/>
      <c r="F870" s="59"/>
      <c r="G870" s="59"/>
      <c r="H870" s="59"/>
    </row>
    <row r="871" spans="3:8" ht="15.75" x14ac:dyDescent="0.25">
      <c r="C871" s="56"/>
      <c r="D871" s="60"/>
      <c r="E871" s="109"/>
      <c r="F871" s="59"/>
      <c r="G871" s="59"/>
      <c r="H871" s="59"/>
    </row>
    <row r="872" spans="3:8" ht="15.75" x14ac:dyDescent="0.25">
      <c r="C872" s="56"/>
      <c r="D872" s="60"/>
      <c r="E872" s="109"/>
      <c r="F872" s="59"/>
      <c r="G872" s="59"/>
      <c r="H872" s="59"/>
    </row>
    <row r="873" spans="3:8" ht="15.75" x14ac:dyDescent="0.25">
      <c r="C873" s="56"/>
      <c r="D873" s="60"/>
      <c r="E873" s="109"/>
      <c r="F873" s="59"/>
      <c r="G873" s="59"/>
      <c r="H873" s="59"/>
    </row>
    <row r="874" spans="3:8" ht="15.75" x14ac:dyDescent="0.25">
      <c r="C874" s="56"/>
      <c r="D874" s="60"/>
      <c r="E874" s="109"/>
      <c r="F874" s="59"/>
      <c r="G874" s="59"/>
      <c r="H874" s="59"/>
    </row>
    <row r="875" spans="3:8" ht="15.75" x14ac:dyDescent="0.25">
      <c r="C875" s="56"/>
      <c r="D875" s="60"/>
      <c r="E875" s="109"/>
      <c r="F875" s="59"/>
      <c r="G875" s="59"/>
      <c r="H875" s="59"/>
    </row>
    <row r="876" spans="3:8" ht="15.75" x14ac:dyDescent="0.25">
      <c r="C876" s="56"/>
      <c r="D876" s="60"/>
      <c r="E876" s="109"/>
      <c r="F876" s="59"/>
      <c r="G876" s="59"/>
      <c r="H876" s="59"/>
    </row>
    <row r="877" spans="3:8" ht="15.75" x14ac:dyDescent="0.25">
      <c r="C877" s="56"/>
      <c r="D877" s="60"/>
      <c r="E877" s="109"/>
      <c r="F877" s="59"/>
      <c r="G877" s="59"/>
      <c r="H877" s="59"/>
    </row>
    <row r="878" spans="3:8" ht="15.75" x14ac:dyDescent="0.25">
      <c r="C878" s="56"/>
      <c r="D878" s="60"/>
      <c r="E878" s="109"/>
      <c r="F878" s="59"/>
      <c r="G878" s="59"/>
      <c r="H878" s="59"/>
    </row>
    <row r="879" spans="3:8" ht="15.75" x14ac:dyDescent="0.25">
      <c r="C879" s="56"/>
      <c r="D879" s="60"/>
      <c r="E879" s="109"/>
      <c r="F879" s="59"/>
      <c r="G879" s="59"/>
      <c r="H879" s="59"/>
    </row>
    <row r="880" spans="3:8" ht="15.75" x14ac:dyDescent="0.25">
      <c r="C880" s="56"/>
      <c r="D880" s="60"/>
      <c r="E880" s="109"/>
      <c r="F880" s="59"/>
      <c r="G880" s="59"/>
      <c r="H880" s="59"/>
    </row>
    <row r="881" spans="3:8" ht="15.75" x14ac:dyDescent="0.25">
      <c r="C881" s="56"/>
      <c r="D881" s="60"/>
      <c r="E881" s="109"/>
      <c r="F881" s="59"/>
      <c r="G881" s="59"/>
      <c r="H881" s="59"/>
    </row>
    <row r="882" spans="3:8" ht="15.75" x14ac:dyDescent="0.25">
      <c r="C882" s="56"/>
      <c r="D882" s="60"/>
      <c r="E882" s="109"/>
      <c r="F882" s="59"/>
      <c r="G882" s="59"/>
      <c r="H882" s="59"/>
    </row>
    <row r="883" spans="3:8" ht="15.75" x14ac:dyDescent="0.25">
      <c r="C883" s="56"/>
      <c r="D883" s="60"/>
      <c r="E883" s="109"/>
      <c r="F883" s="59"/>
      <c r="G883" s="59"/>
      <c r="H883" s="59"/>
    </row>
    <row r="884" spans="3:8" ht="15.75" x14ac:dyDescent="0.25">
      <c r="C884" s="56"/>
      <c r="D884" s="60"/>
      <c r="E884" s="109"/>
      <c r="F884" s="59"/>
      <c r="G884" s="59"/>
      <c r="H884" s="59"/>
    </row>
    <row r="885" spans="3:8" ht="15.75" x14ac:dyDescent="0.25">
      <c r="C885" s="56"/>
      <c r="D885" s="60"/>
      <c r="E885" s="109"/>
      <c r="F885" s="59"/>
      <c r="G885" s="59"/>
      <c r="H885" s="59"/>
    </row>
    <row r="886" spans="3:8" ht="15.75" x14ac:dyDescent="0.25">
      <c r="C886" s="56"/>
      <c r="D886" s="60"/>
      <c r="E886" s="109"/>
      <c r="F886" s="59"/>
      <c r="G886" s="59"/>
      <c r="H886" s="59"/>
    </row>
    <row r="887" spans="3:8" ht="15.75" x14ac:dyDescent="0.25">
      <c r="C887" s="56"/>
      <c r="D887" s="60"/>
      <c r="E887" s="109"/>
      <c r="F887" s="59"/>
      <c r="G887" s="59"/>
      <c r="H887" s="59"/>
    </row>
    <row r="888" spans="3:8" ht="15.75" x14ac:dyDescent="0.25">
      <c r="C888" s="56"/>
      <c r="D888" s="60"/>
      <c r="E888" s="109"/>
      <c r="F888" s="59"/>
      <c r="G888" s="59"/>
      <c r="H888" s="59"/>
    </row>
    <row r="889" spans="3:8" ht="15.75" x14ac:dyDescent="0.25">
      <c r="C889" s="56"/>
      <c r="D889" s="60"/>
      <c r="E889" s="109"/>
      <c r="F889" s="59"/>
      <c r="G889" s="59"/>
      <c r="H889" s="59"/>
    </row>
    <row r="890" spans="3:8" ht="15.75" x14ac:dyDescent="0.25">
      <c r="C890" s="56"/>
      <c r="D890" s="60"/>
      <c r="E890" s="109"/>
      <c r="F890" s="59"/>
      <c r="G890" s="59"/>
      <c r="H890" s="59"/>
    </row>
    <row r="891" spans="3:8" ht="15.75" x14ac:dyDescent="0.25">
      <c r="C891" s="56"/>
      <c r="D891" s="60"/>
      <c r="E891" s="109"/>
      <c r="F891" s="59"/>
      <c r="G891" s="59"/>
      <c r="H891" s="59"/>
    </row>
    <row r="892" spans="3:8" ht="15.75" x14ac:dyDescent="0.25">
      <c r="C892" s="56"/>
      <c r="D892" s="60"/>
      <c r="E892" s="109"/>
      <c r="F892" s="59"/>
      <c r="G892" s="59"/>
      <c r="H892" s="59"/>
    </row>
    <row r="893" spans="3:8" ht="15.75" x14ac:dyDescent="0.25">
      <c r="C893" s="56"/>
      <c r="D893" s="60"/>
      <c r="E893" s="109"/>
      <c r="F893" s="59"/>
      <c r="G893" s="59"/>
      <c r="H893" s="59"/>
    </row>
    <row r="894" spans="3:8" ht="15.75" x14ac:dyDescent="0.25">
      <c r="C894" s="56"/>
      <c r="D894" s="60"/>
      <c r="E894" s="109"/>
      <c r="F894" s="59"/>
      <c r="G894" s="59"/>
      <c r="H894" s="59"/>
    </row>
    <row r="895" spans="3:8" ht="15.75" x14ac:dyDescent="0.25">
      <c r="C895" s="56"/>
      <c r="D895" s="60"/>
      <c r="E895" s="109"/>
      <c r="F895" s="59"/>
      <c r="G895" s="59"/>
      <c r="H895" s="59"/>
    </row>
    <row r="896" spans="3:8" ht="15.75" x14ac:dyDescent="0.25">
      <c r="C896" s="56"/>
      <c r="D896" s="60"/>
      <c r="E896" s="109"/>
      <c r="F896" s="59"/>
      <c r="G896" s="59"/>
      <c r="H896" s="59"/>
    </row>
    <row r="897" spans="3:8" ht="15.75" x14ac:dyDescent="0.25">
      <c r="C897" s="56"/>
      <c r="D897" s="60"/>
      <c r="E897" s="109"/>
      <c r="F897" s="59"/>
      <c r="G897" s="59"/>
      <c r="H897" s="59"/>
    </row>
    <row r="898" spans="3:8" ht="15.75" x14ac:dyDescent="0.25">
      <c r="C898" s="56"/>
      <c r="D898" s="60"/>
      <c r="E898" s="109"/>
      <c r="F898" s="59"/>
      <c r="G898" s="59"/>
      <c r="H898" s="59"/>
    </row>
    <row r="899" spans="3:8" ht="15.75" x14ac:dyDescent="0.25">
      <c r="C899" s="56"/>
      <c r="D899" s="60"/>
      <c r="E899" s="109"/>
      <c r="F899" s="59"/>
      <c r="G899" s="59"/>
      <c r="H899" s="59"/>
    </row>
    <row r="900" spans="3:8" ht="15.75" x14ac:dyDescent="0.25">
      <c r="C900" s="56"/>
      <c r="D900" s="60"/>
      <c r="E900" s="109"/>
      <c r="F900" s="59"/>
      <c r="G900" s="59"/>
      <c r="H900" s="59"/>
    </row>
    <row r="901" spans="3:8" ht="15.75" x14ac:dyDescent="0.25">
      <c r="C901" s="56"/>
      <c r="D901" s="60"/>
      <c r="E901" s="109"/>
      <c r="F901" s="59"/>
      <c r="G901" s="59"/>
      <c r="H901" s="59"/>
    </row>
    <row r="902" spans="3:8" ht="15.75" x14ac:dyDescent="0.25">
      <c r="C902" s="56"/>
      <c r="D902" s="60"/>
      <c r="E902" s="109"/>
      <c r="F902" s="59"/>
      <c r="G902" s="59"/>
      <c r="H902" s="59"/>
    </row>
    <row r="903" spans="3:8" ht="15.75" x14ac:dyDescent="0.25">
      <c r="C903" s="56"/>
      <c r="D903" s="60"/>
      <c r="E903" s="109"/>
      <c r="F903" s="59"/>
      <c r="G903" s="59"/>
      <c r="H903" s="59"/>
    </row>
    <row r="904" spans="3:8" ht="15.75" x14ac:dyDescent="0.25">
      <c r="C904" s="56"/>
      <c r="D904" s="60"/>
      <c r="E904" s="109"/>
      <c r="F904" s="59"/>
      <c r="G904" s="59"/>
      <c r="H904" s="59"/>
    </row>
    <row r="905" spans="3:8" ht="15.75" x14ac:dyDescent="0.25">
      <c r="C905" s="56"/>
      <c r="D905" s="60"/>
      <c r="E905" s="109"/>
      <c r="F905" s="59"/>
      <c r="G905" s="59"/>
      <c r="H905" s="59"/>
    </row>
    <row r="906" spans="3:8" ht="15.75" x14ac:dyDescent="0.25">
      <c r="C906" s="56"/>
      <c r="D906" s="60"/>
      <c r="E906" s="109"/>
      <c r="F906" s="59"/>
      <c r="G906" s="59"/>
      <c r="H906" s="59"/>
    </row>
    <row r="907" spans="3:8" ht="15.75" x14ac:dyDescent="0.25">
      <c r="C907" s="56"/>
      <c r="D907" s="60"/>
      <c r="E907" s="109"/>
      <c r="F907" s="59"/>
      <c r="G907" s="59"/>
      <c r="H907" s="59"/>
    </row>
    <row r="908" spans="3:8" ht="15.75" x14ac:dyDescent="0.25">
      <c r="C908" s="56"/>
      <c r="D908" s="60"/>
      <c r="E908" s="109"/>
      <c r="F908" s="59"/>
      <c r="G908" s="59"/>
      <c r="H908" s="59"/>
    </row>
    <row r="909" spans="3:8" ht="15.75" x14ac:dyDescent="0.25">
      <c r="C909" s="56"/>
      <c r="D909" s="60"/>
      <c r="E909" s="109"/>
      <c r="F909" s="59"/>
      <c r="G909" s="59"/>
      <c r="H909" s="59"/>
    </row>
    <row r="910" spans="3:8" ht="15.75" x14ac:dyDescent="0.25">
      <c r="C910" s="56"/>
      <c r="D910" s="60"/>
      <c r="E910" s="109"/>
      <c r="F910" s="59"/>
      <c r="G910" s="59"/>
      <c r="H910" s="59"/>
    </row>
    <row r="911" spans="3:8" ht="15.75" x14ac:dyDescent="0.25">
      <c r="C911" s="56"/>
      <c r="D911" s="60"/>
      <c r="E911" s="109"/>
      <c r="F911" s="59"/>
      <c r="G911" s="59"/>
      <c r="H911" s="59"/>
    </row>
    <row r="912" spans="3:8" ht="15.75" x14ac:dyDescent="0.25">
      <c r="C912" s="56"/>
      <c r="D912" s="60"/>
      <c r="E912" s="109"/>
      <c r="F912" s="59"/>
      <c r="G912" s="59"/>
      <c r="H912" s="59"/>
    </row>
    <row r="913" spans="3:8" ht="15.75" x14ac:dyDescent="0.25">
      <c r="C913" s="56"/>
      <c r="D913" s="60"/>
      <c r="E913" s="109"/>
      <c r="F913" s="59"/>
      <c r="G913" s="59"/>
      <c r="H913" s="59"/>
    </row>
    <row r="914" spans="3:8" ht="15.75" x14ac:dyDescent="0.25">
      <c r="C914" s="56"/>
      <c r="D914" s="60"/>
      <c r="E914" s="109"/>
      <c r="F914" s="59"/>
      <c r="G914" s="59"/>
      <c r="H914" s="59"/>
    </row>
    <row r="915" spans="3:8" ht="15.75" x14ac:dyDescent="0.25">
      <c r="C915" s="56"/>
      <c r="D915" s="60"/>
      <c r="E915" s="109"/>
      <c r="F915" s="59"/>
      <c r="G915" s="59"/>
      <c r="H915" s="59"/>
    </row>
    <row r="916" spans="3:8" ht="15.75" x14ac:dyDescent="0.25">
      <c r="C916" s="56"/>
      <c r="D916" s="60"/>
      <c r="E916" s="109"/>
      <c r="F916" s="59"/>
      <c r="G916" s="59"/>
      <c r="H916" s="59"/>
    </row>
    <row r="917" spans="3:8" ht="15.75" x14ac:dyDescent="0.25">
      <c r="C917" s="56"/>
      <c r="D917" s="60"/>
      <c r="E917" s="109"/>
      <c r="F917" s="59"/>
      <c r="G917" s="59"/>
      <c r="H917" s="59"/>
    </row>
    <row r="918" spans="3:8" ht="15.75" x14ac:dyDescent="0.25">
      <c r="C918" s="56"/>
      <c r="D918" s="60"/>
      <c r="E918" s="109"/>
      <c r="F918" s="59"/>
      <c r="G918" s="59"/>
      <c r="H918" s="59"/>
    </row>
    <row r="919" spans="3:8" ht="15.75" x14ac:dyDescent="0.25">
      <c r="C919" s="56"/>
      <c r="D919" s="60"/>
      <c r="E919" s="109"/>
      <c r="F919" s="59"/>
      <c r="G919" s="59"/>
      <c r="H919" s="59"/>
    </row>
    <row r="920" spans="3:8" ht="16.5" x14ac:dyDescent="0.25">
      <c r="C920" s="56"/>
      <c r="D920" s="60"/>
      <c r="E920" s="112"/>
      <c r="F920" s="59"/>
      <c r="G920" s="59"/>
      <c r="H920" s="59"/>
    </row>
    <row r="921" spans="3:8" ht="16.5" x14ac:dyDescent="0.25">
      <c r="C921" s="56"/>
      <c r="D921" s="60"/>
      <c r="E921" s="112"/>
      <c r="F921" s="59"/>
      <c r="G921" s="59"/>
      <c r="H921" s="59"/>
    </row>
    <row r="922" spans="3:8" ht="16.5" x14ac:dyDescent="0.25">
      <c r="C922" s="56"/>
      <c r="D922" s="60"/>
      <c r="E922" s="112"/>
      <c r="F922" s="59"/>
      <c r="G922" s="59"/>
      <c r="H922" s="59"/>
    </row>
    <row r="923" spans="3:8" ht="16.5" x14ac:dyDescent="0.25">
      <c r="C923" s="56"/>
      <c r="D923" s="60"/>
      <c r="E923" s="112"/>
      <c r="F923" s="59"/>
      <c r="G923" s="59"/>
      <c r="H923" s="59"/>
    </row>
    <row r="924" spans="3:8" ht="16.5" x14ac:dyDescent="0.25">
      <c r="C924" s="56"/>
      <c r="D924" s="60"/>
      <c r="E924" s="112"/>
      <c r="F924" s="59"/>
      <c r="G924" s="59"/>
      <c r="H924" s="59"/>
    </row>
    <row r="925" spans="3:8" ht="16.5" x14ac:dyDescent="0.25">
      <c r="C925" s="56"/>
      <c r="D925" s="60"/>
      <c r="E925" s="112"/>
      <c r="F925" s="59"/>
      <c r="G925" s="59"/>
      <c r="H925" s="59"/>
    </row>
    <row r="926" spans="3:8" ht="16.5" x14ac:dyDescent="0.25">
      <c r="C926" s="56"/>
      <c r="D926" s="60"/>
      <c r="E926" s="112"/>
      <c r="F926" s="59"/>
      <c r="G926" s="59"/>
      <c r="H926" s="59"/>
    </row>
    <row r="927" spans="3:8" ht="16.5" x14ac:dyDescent="0.25">
      <c r="C927" s="56"/>
      <c r="D927" s="60"/>
      <c r="E927" s="112"/>
      <c r="F927" s="59"/>
      <c r="G927" s="59"/>
      <c r="H927" s="59"/>
    </row>
    <row r="928" spans="3:8" ht="16.5" x14ac:dyDescent="0.25">
      <c r="C928" s="56"/>
      <c r="D928" s="60"/>
      <c r="E928" s="112"/>
      <c r="F928" s="59"/>
      <c r="G928" s="59"/>
      <c r="H928" s="59"/>
    </row>
    <row r="929" spans="3:8" ht="16.5" x14ac:dyDescent="0.25">
      <c r="C929" s="56"/>
      <c r="D929" s="60"/>
      <c r="E929" s="112"/>
      <c r="F929" s="59"/>
      <c r="G929" s="59"/>
      <c r="H929" s="59"/>
    </row>
    <row r="930" spans="3:8" ht="16.5" x14ac:dyDescent="0.25">
      <c r="C930" s="56"/>
      <c r="D930" s="60"/>
      <c r="E930" s="112"/>
      <c r="F930" s="59"/>
      <c r="G930" s="59"/>
      <c r="H930" s="59"/>
    </row>
    <row r="931" spans="3:8" ht="16.5" x14ac:dyDescent="0.25">
      <c r="C931" s="56"/>
      <c r="D931" s="60"/>
      <c r="E931" s="112"/>
      <c r="F931" s="59"/>
      <c r="G931" s="59"/>
      <c r="H931" s="59"/>
    </row>
    <row r="932" spans="3:8" ht="16.5" x14ac:dyDescent="0.25">
      <c r="C932" s="56"/>
      <c r="D932" s="60"/>
      <c r="E932" s="112"/>
      <c r="F932" s="59"/>
      <c r="G932" s="59"/>
      <c r="H932" s="59"/>
    </row>
    <row r="933" spans="3:8" ht="16.5" x14ac:dyDescent="0.25">
      <c r="C933" s="56"/>
      <c r="D933" s="60"/>
      <c r="E933" s="112"/>
      <c r="F933" s="59"/>
      <c r="G933" s="59"/>
      <c r="H933" s="59"/>
    </row>
    <row r="934" spans="3:8" ht="16.5" x14ac:dyDescent="0.25">
      <c r="C934" s="56"/>
      <c r="D934" s="60"/>
      <c r="E934" s="112"/>
      <c r="F934" s="59"/>
      <c r="G934" s="59"/>
      <c r="H934" s="59"/>
    </row>
    <row r="935" spans="3:8" ht="16.5" x14ac:dyDescent="0.25">
      <c r="C935" s="56"/>
      <c r="D935" s="60"/>
      <c r="E935" s="112"/>
      <c r="F935" s="59"/>
      <c r="G935" s="59"/>
      <c r="H935" s="59"/>
    </row>
    <row r="936" spans="3:8" ht="16.5" x14ac:dyDescent="0.25">
      <c r="C936" s="56"/>
      <c r="D936" s="60"/>
      <c r="E936" s="112"/>
      <c r="F936" s="59"/>
      <c r="G936" s="59"/>
      <c r="H936" s="59"/>
    </row>
    <row r="937" spans="3:8" ht="16.5" x14ac:dyDescent="0.25">
      <c r="C937" s="56"/>
      <c r="D937" s="60"/>
      <c r="E937" s="112"/>
      <c r="F937" s="59"/>
      <c r="G937" s="59"/>
      <c r="H937" s="59"/>
    </row>
    <row r="938" spans="3:8" ht="16.5" x14ac:dyDescent="0.25">
      <c r="C938" s="56"/>
      <c r="D938" s="60"/>
      <c r="E938" s="112"/>
      <c r="F938" s="59"/>
      <c r="G938" s="59"/>
      <c r="H938" s="59"/>
    </row>
    <row r="939" spans="3:8" ht="16.5" x14ac:dyDescent="0.25">
      <c r="C939" s="56"/>
      <c r="D939" s="60"/>
      <c r="E939" s="112"/>
      <c r="F939" s="59"/>
      <c r="G939" s="59"/>
      <c r="H939" s="59"/>
    </row>
    <row r="940" spans="3:8" ht="16.5" x14ac:dyDescent="0.25">
      <c r="C940" s="56"/>
      <c r="D940" s="60"/>
      <c r="E940" s="112"/>
      <c r="F940" s="59"/>
      <c r="G940" s="59"/>
      <c r="H940" s="59"/>
    </row>
    <row r="941" spans="3:8" ht="15.75" x14ac:dyDescent="0.25">
      <c r="C941" s="56"/>
      <c r="D941" s="60"/>
      <c r="E941" s="109"/>
      <c r="F941" s="59"/>
      <c r="G941" s="59"/>
      <c r="H941" s="59"/>
    </row>
    <row r="942" spans="3:8" ht="16.5" x14ac:dyDescent="0.25">
      <c r="C942" s="56"/>
      <c r="D942" s="60"/>
      <c r="E942" s="112"/>
      <c r="F942" s="59"/>
      <c r="G942" s="59"/>
      <c r="H942" s="59"/>
    </row>
    <row r="943" spans="3:8" ht="16.5" x14ac:dyDescent="0.25">
      <c r="C943" s="56"/>
      <c r="D943" s="60"/>
      <c r="E943" s="112"/>
      <c r="F943" s="59"/>
      <c r="G943" s="59"/>
      <c r="H943" s="59"/>
    </row>
    <row r="944" spans="3:8" ht="16.5" x14ac:dyDescent="0.25">
      <c r="C944" s="56"/>
      <c r="D944" s="60"/>
      <c r="E944" s="112"/>
      <c r="F944" s="59"/>
      <c r="G944" s="59"/>
      <c r="H944" s="59"/>
    </row>
    <row r="945" spans="3:8" ht="16.5" x14ac:dyDescent="0.25">
      <c r="C945" s="56"/>
      <c r="D945" s="60"/>
      <c r="E945" s="112"/>
      <c r="F945" s="59"/>
      <c r="G945" s="59"/>
      <c r="H945" s="59"/>
    </row>
    <row r="946" spans="3:8" ht="16.5" x14ac:dyDescent="0.25">
      <c r="C946" s="56"/>
      <c r="D946" s="60"/>
      <c r="E946" s="112"/>
      <c r="F946" s="59"/>
      <c r="G946" s="59"/>
      <c r="H946" s="59"/>
    </row>
    <row r="947" spans="3:8" ht="16.5" x14ac:dyDescent="0.25">
      <c r="C947" s="56"/>
      <c r="D947" s="60"/>
      <c r="E947" s="112"/>
      <c r="F947" s="59"/>
      <c r="G947" s="59"/>
      <c r="H947" s="59"/>
    </row>
    <row r="948" spans="3:8" ht="16.5" x14ac:dyDescent="0.25">
      <c r="C948" s="56"/>
      <c r="D948" s="60"/>
      <c r="E948" s="112"/>
      <c r="F948" s="59"/>
      <c r="G948" s="59"/>
      <c r="H948" s="59"/>
    </row>
    <row r="949" spans="3:8" ht="16.5" x14ac:dyDescent="0.25">
      <c r="C949" s="56"/>
      <c r="D949" s="60"/>
      <c r="E949" s="112"/>
      <c r="F949" s="59"/>
      <c r="G949" s="59"/>
      <c r="H949" s="59"/>
    </row>
    <row r="950" spans="3:8" ht="16.5" x14ac:dyDescent="0.25">
      <c r="C950" s="56"/>
      <c r="D950" s="60"/>
      <c r="E950" s="112"/>
      <c r="F950" s="59"/>
      <c r="G950" s="59"/>
      <c r="H950" s="59"/>
    </row>
    <row r="951" spans="3:8" ht="16.5" x14ac:dyDescent="0.25">
      <c r="C951" s="56"/>
      <c r="D951" s="60"/>
      <c r="E951" s="112"/>
      <c r="F951" s="59"/>
      <c r="G951" s="59"/>
      <c r="H951" s="59"/>
    </row>
    <row r="952" spans="3:8" ht="16.5" x14ac:dyDescent="0.25">
      <c r="C952" s="56"/>
      <c r="D952" s="60"/>
      <c r="E952" s="112"/>
      <c r="F952" s="59"/>
      <c r="G952" s="59"/>
      <c r="H952" s="59"/>
    </row>
    <row r="953" spans="3:8" ht="16.5" x14ac:dyDescent="0.25">
      <c r="C953" s="56"/>
      <c r="D953" s="60"/>
      <c r="E953" s="112"/>
      <c r="F953" s="59"/>
      <c r="G953" s="59"/>
      <c r="H953" s="59"/>
    </row>
    <row r="954" spans="3:8" ht="16.5" x14ac:dyDescent="0.25">
      <c r="C954" s="56"/>
      <c r="D954" s="60"/>
      <c r="E954" s="112"/>
      <c r="F954" s="59"/>
      <c r="G954" s="59"/>
      <c r="H954" s="59"/>
    </row>
    <row r="955" spans="3:8" ht="16.5" x14ac:dyDescent="0.25">
      <c r="C955" s="56"/>
      <c r="D955" s="60"/>
      <c r="E955" s="112"/>
      <c r="F955" s="59"/>
      <c r="G955" s="59"/>
      <c r="H955" s="59"/>
    </row>
    <row r="956" spans="3:8" ht="16.5" x14ac:dyDescent="0.25">
      <c r="C956" s="56"/>
      <c r="D956" s="60"/>
      <c r="E956" s="112"/>
      <c r="F956" s="59"/>
      <c r="G956" s="59"/>
      <c r="H956" s="59"/>
    </row>
    <row r="957" spans="3:8" ht="16.5" x14ac:dyDescent="0.25">
      <c r="C957" s="56"/>
      <c r="D957" s="60"/>
      <c r="E957" s="112"/>
      <c r="F957" s="59"/>
      <c r="G957" s="59"/>
      <c r="H957" s="59"/>
    </row>
    <row r="958" spans="3:8" ht="16.5" x14ac:dyDescent="0.25">
      <c r="C958" s="56"/>
      <c r="D958" s="60"/>
      <c r="E958" s="112"/>
      <c r="F958" s="59"/>
      <c r="G958" s="59"/>
      <c r="H958" s="59"/>
    </row>
    <row r="959" spans="3:8" ht="16.5" x14ac:dyDescent="0.25">
      <c r="C959" s="56"/>
      <c r="D959" s="60"/>
      <c r="E959" s="112"/>
      <c r="F959" s="59"/>
      <c r="G959" s="59"/>
      <c r="H959" s="59"/>
    </row>
    <row r="960" spans="3:8" ht="16.5" x14ac:dyDescent="0.25">
      <c r="C960" s="56"/>
      <c r="D960" s="60"/>
      <c r="E960" s="112"/>
      <c r="F960" s="59"/>
      <c r="G960" s="59"/>
      <c r="H960" s="59"/>
    </row>
    <row r="961" spans="3:8" ht="16.5" x14ac:dyDescent="0.25">
      <c r="C961" s="56"/>
      <c r="D961" s="60"/>
      <c r="E961" s="112"/>
      <c r="F961" s="59"/>
      <c r="G961" s="59"/>
      <c r="H961" s="59"/>
    </row>
    <row r="962" spans="3:8" ht="16.5" x14ac:dyDescent="0.25">
      <c r="C962" s="56"/>
      <c r="D962" s="60"/>
      <c r="E962" s="112"/>
      <c r="F962" s="59"/>
      <c r="G962" s="59"/>
      <c r="H962" s="59"/>
    </row>
    <row r="963" spans="3:8" ht="16.5" x14ac:dyDescent="0.25">
      <c r="C963" s="56"/>
      <c r="D963" s="60"/>
      <c r="E963" s="112"/>
      <c r="F963" s="59"/>
      <c r="G963" s="59"/>
      <c r="H963" s="59"/>
    </row>
    <row r="964" spans="3:8" ht="16.5" x14ac:dyDescent="0.25">
      <c r="C964" s="56"/>
      <c r="D964" s="60"/>
      <c r="E964" s="112"/>
      <c r="F964" s="59"/>
      <c r="G964" s="59"/>
      <c r="H964" s="59"/>
    </row>
    <row r="965" spans="3:8" ht="16.5" x14ac:dyDescent="0.25">
      <c r="C965" s="56"/>
      <c r="D965" s="60"/>
      <c r="E965" s="112"/>
      <c r="F965" s="59"/>
      <c r="G965" s="59"/>
      <c r="H965" s="59"/>
    </row>
    <row r="966" spans="3:8" ht="16.5" x14ac:dyDescent="0.25">
      <c r="C966" s="56"/>
      <c r="D966" s="60"/>
      <c r="E966" s="112"/>
      <c r="F966" s="59"/>
      <c r="G966" s="59"/>
      <c r="H966" s="59"/>
    </row>
    <row r="967" spans="3:8" ht="16.5" x14ac:dyDescent="0.25">
      <c r="C967" s="56"/>
      <c r="D967" s="60"/>
      <c r="E967" s="112"/>
      <c r="F967" s="59"/>
      <c r="G967" s="59"/>
      <c r="H967" s="59"/>
    </row>
    <row r="968" spans="3:8" ht="16.5" x14ac:dyDescent="0.25">
      <c r="C968" s="56"/>
      <c r="D968" s="60"/>
      <c r="E968" s="112"/>
      <c r="F968" s="59"/>
      <c r="G968" s="59"/>
      <c r="H968" s="59"/>
    </row>
    <row r="969" spans="3:8" ht="16.5" x14ac:dyDescent="0.25">
      <c r="C969" s="56"/>
      <c r="D969" s="60"/>
      <c r="E969" s="112"/>
      <c r="F969" s="59"/>
      <c r="G969" s="59"/>
      <c r="H969" s="59"/>
    </row>
    <row r="970" spans="3:8" ht="16.5" x14ac:dyDescent="0.25">
      <c r="C970" s="56"/>
      <c r="D970" s="60"/>
      <c r="E970" s="112"/>
      <c r="F970" s="59"/>
      <c r="G970" s="59"/>
      <c r="H970" s="59"/>
    </row>
    <row r="971" spans="3:8" ht="16.5" x14ac:dyDescent="0.25">
      <c r="C971" s="56"/>
      <c r="D971" s="60"/>
      <c r="E971" s="112"/>
      <c r="F971" s="59"/>
      <c r="G971" s="59"/>
      <c r="H971" s="59"/>
    </row>
    <row r="972" spans="3:8" ht="16.5" x14ac:dyDescent="0.25">
      <c r="C972" s="56"/>
      <c r="D972" s="60"/>
      <c r="E972" s="112"/>
      <c r="F972" s="59"/>
      <c r="G972" s="59"/>
      <c r="H972" s="59"/>
    </row>
    <row r="973" spans="3:8" ht="16.5" x14ac:dyDescent="0.25">
      <c r="C973" s="56"/>
      <c r="D973" s="60"/>
      <c r="E973" s="112"/>
      <c r="F973" s="59"/>
      <c r="G973" s="59"/>
      <c r="H973" s="59"/>
    </row>
    <row r="974" spans="3:8" ht="16.5" x14ac:dyDescent="0.25">
      <c r="C974" s="56"/>
      <c r="D974" s="60"/>
      <c r="E974" s="112"/>
      <c r="F974" s="59"/>
      <c r="G974" s="59"/>
      <c r="H974" s="59"/>
    </row>
    <row r="975" spans="3:8" ht="16.5" x14ac:dyDescent="0.25">
      <c r="C975" s="56"/>
      <c r="D975" s="60"/>
      <c r="E975" s="112"/>
      <c r="F975" s="59"/>
      <c r="G975" s="59"/>
      <c r="H975" s="59"/>
    </row>
    <row r="976" spans="3:8" ht="16.5" x14ac:dyDescent="0.25">
      <c r="C976" s="56"/>
      <c r="D976" s="60"/>
      <c r="E976" s="112"/>
      <c r="F976" s="59"/>
      <c r="G976" s="59"/>
      <c r="H976" s="59"/>
    </row>
    <row r="977" spans="3:8" ht="16.5" x14ac:dyDescent="0.25">
      <c r="C977" s="56"/>
      <c r="D977" s="60"/>
      <c r="E977" s="112"/>
      <c r="F977" s="59"/>
      <c r="G977" s="59"/>
      <c r="H977" s="59"/>
    </row>
    <row r="978" spans="3:8" ht="15.75" x14ac:dyDescent="0.25">
      <c r="C978" s="56"/>
      <c r="D978" s="60"/>
      <c r="E978" s="108"/>
      <c r="F978" s="59"/>
      <c r="G978" s="59"/>
      <c r="H978" s="59"/>
    </row>
    <row r="979" spans="3:8" ht="16.5" x14ac:dyDescent="0.25">
      <c r="C979" s="56"/>
      <c r="D979" s="60"/>
      <c r="E979" s="112"/>
      <c r="F979" s="59"/>
      <c r="G979" s="59"/>
      <c r="H979" s="59"/>
    </row>
    <row r="980" spans="3:8" ht="16.5" x14ac:dyDescent="0.25">
      <c r="C980" s="56"/>
      <c r="D980" s="60"/>
      <c r="E980" s="112"/>
      <c r="F980" s="59"/>
      <c r="G980" s="59"/>
      <c r="H980" s="59"/>
    </row>
    <row r="981" spans="3:8" ht="16.5" x14ac:dyDescent="0.25">
      <c r="C981" s="56"/>
      <c r="D981" s="60"/>
      <c r="E981" s="112"/>
      <c r="F981" s="59"/>
      <c r="G981" s="59"/>
      <c r="H981" s="59"/>
    </row>
    <row r="982" spans="3:8" ht="16.5" x14ac:dyDescent="0.25">
      <c r="C982" s="56"/>
      <c r="D982" s="60"/>
      <c r="E982" s="112"/>
      <c r="F982" s="59"/>
      <c r="G982" s="59"/>
      <c r="H982" s="59"/>
    </row>
    <row r="983" spans="3:8" ht="15.75" x14ac:dyDescent="0.25">
      <c r="C983" s="56"/>
      <c r="D983" s="60"/>
      <c r="E983" s="108"/>
      <c r="F983" s="59"/>
      <c r="G983" s="59"/>
      <c r="H983" s="59"/>
    </row>
    <row r="984" spans="3:8" ht="16.5" x14ac:dyDescent="0.25">
      <c r="C984" s="56"/>
      <c r="D984" s="60"/>
      <c r="E984" s="112"/>
      <c r="F984" s="59"/>
      <c r="G984" s="59"/>
      <c r="H984" s="59"/>
    </row>
    <row r="985" spans="3:8" ht="16.5" x14ac:dyDescent="0.25">
      <c r="C985" s="56"/>
      <c r="D985" s="60"/>
      <c r="E985" s="112"/>
      <c r="F985" s="59"/>
      <c r="G985" s="59"/>
      <c r="H985" s="59"/>
    </row>
    <row r="986" spans="3:8" ht="16.5" x14ac:dyDescent="0.25">
      <c r="C986" s="56"/>
      <c r="D986" s="60"/>
      <c r="E986" s="112"/>
      <c r="F986" s="59"/>
      <c r="G986" s="59"/>
      <c r="H986" s="59"/>
    </row>
    <row r="987" spans="3:8" ht="15.75" x14ac:dyDescent="0.25">
      <c r="C987" s="56"/>
      <c r="D987" s="60"/>
      <c r="E987" s="108"/>
      <c r="F987" s="59"/>
      <c r="G987" s="59"/>
      <c r="H987" s="59"/>
    </row>
    <row r="988" spans="3:8" ht="16.5" x14ac:dyDescent="0.25">
      <c r="C988" s="56"/>
      <c r="D988" s="60"/>
      <c r="E988" s="112"/>
      <c r="F988" s="59"/>
      <c r="G988" s="59"/>
      <c r="H988" s="59"/>
    </row>
    <row r="989" spans="3:8" ht="16.5" x14ac:dyDescent="0.25">
      <c r="C989" s="56"/>
      <c r="D989" s="60"/>
      <c r="E989" s="112"/>
      <c r="F989" s="59"/>
      <c r="G989" s="59"/>
      <c r="H989" s="59"/>
    </row>
    <row r="990" spans="3:8" ht="16.5" x14ac:dyDescent="0.25">
      <c r="C990" s="56"/>
      <c r="D990" s="60"/>
      <c r="E990" s="112"/>
      <c r="F990" s="59"/>
      <c r="G990" s="59"/>
      <c r="H990" s="59"/>
    </row>
    <row r="991" spans="3:8" ht="16.5" x14ac:dyDescent="0.25">
      <c r="C991" s="56"/>
      <c r="D991" s="60"/>
      <c r="E991" s="112"/>
      <c r="F991" s="59"/>
      <c r="G991" s="59"/>
      <c r="H991" s="59"/>
    </row>
    <row r="992" spans="3:8" ht="16.5" x14ac:dyDescent="0.25">
      <c r="C992" s="56"/>
      <c r="D992" s="60"/>
      <c r="E992" s="112"/>
      <c r="F992" s="59"/>
      <c r="G992" s="59"/>
      <c r="H992" s="59"/>
    </row>
    <row r="993" spans="3:8" ht="16.5" x14ac:dyDescent="0.25">
      <c r="C993" s="56"/>
      <c r="D993" s="60"/>
      <c r="E993" s="112"/>
      <c r="F993" s="59"/>
      <c r="G993" s="59"/>
      <c r="H993" s="59"/>
    </row>
    <row r="994" spans="3:8" ht="16.5" x14ac:dyDescent="0.25">
      <c r="C994" s="56"/>
      <c r="D994" s="60"/>
      <c r="E994" s="112"/>
      <c r="F994" s="59"/>
      <c r="G994" s="59"/>
      <c r="H994" s="59"/>
    </row>
    <row r="995" spans="3:8" ht="16.5" x14ac:dyDescent="0.25">
      <c r="C995" s="56"/>
      <c r="D995" s="60"/>
      <c r="E995" s="112"/>
      <c r="F995" s="59"/>
      <c r="G995" s="59"/>
      <c r="H995" s="59"/>
    </row>
    <row r="996" spans="3:8" ht="16.5" x14ac:dyDescent="0.25">
      <c r="C996" s="56"/>
      <c r="D996" s="60"/>
      <c r="E996" s="112"/>
      <c r="F996" s="59"/>
      <c r="G996" s="59"/>
      <c r="H996" s="59"/>
    </row>
    <row r="997" spans="3:8" ht="16.5" x14ac:dyDescent="0.25">
      <c r="C997" s="56"/>
      <c r="D997" s="60"/>
      <c r="E997" s="112"/>
      <c r="F997" s="59"/>
      <c r="G997" s="59"/>
      <c r="H997" s="59"/>
    </row>
    <row r="998" spans="3:8" ht="15.75" x14ac:dyDescent="0.25">
      <c r="C998" s="56"/>
      <c r="D998" s="60"/>
      <c r="E998" s="108"/>
      <c r="F998" s="59"/>
      <c r="G998" s="59"/>
      <c r="H998" s="59"/>
    </row>
    <row r="999" spans="3:8" ht="16.5" x14ac:dyDescent="0.25">
      <c r="C999" s="56"/>
      <c r="D999" s="60"/>
      <c r="E999" s="112"/>
      <c r="F999" s="59"/>
      <c r="G999" s="59"/>
      <c r="H999" s="59"/>
    </row>
    <row r="1000" spans="3:8" ht="16.5" x14ac:dyDescent="0.25">
      <c r="C1000" s="56"/>
      <c r="D1000" s="60"/>
      <c r="E1000" s="112"/>
      <c r="F1000" s="59"/>
      <c r="G1000" s="59"/>
      <c r="H1000" s="59"/>
    </row>
    <row r="1001" spans="3:8" ht="15.75" x14ac:dyDescent="0.25">
      <c r="C1001" s="56"/>
      <c r="D1001" s="60"/>
      <c r="E1001" s="108"/>
      <c r="F1001" s="59"/>
      <c r="G1001" s="59"/>
      <c r="H1001" s="59"/>
    </row>
    <row r="1002" spans="3:8" ht="16.5" x14ac:dyDescent="0.25">
      <c r="C1002" s="56"/>
      <c r="D1002" s="60"/>
      <c r="E1002" s="112"/>
      <c r="F1002" s="59"/>
      <c r="G1002" s="59"/>
      <c r="H1002" s="59"/>
    </row>
    <row r="1003" spans="3:8" ht="16.5" x14ac:dyDescent="0.25">
      <c r="C1003" s="56"/>
      <c r="D1003" s="60"/>
      <c r="E1003" s="112"/>
      <c r="F1003" s="59"/>
      <c r="G1003" s="59"/>
      <c r="H1003" s="59"/>
    </row>
    <row r="1004" spans="3:8" ht="16.5" x14ac:dyDescent="0.25">
      <c r="C1004" s="56"/>
      <c r="D1004" s="60"/>
      <c r="E1004" s="112"/>
      <c r="F1004" s="59"/>
      <c r="G1004" s="59"/>
      <c r="H1004" s="59"/>
    </row>
    <row r="1005" spans="3:8" ht="16.5" x14ac:dyDescent="0.25">
      <c r="C1005" s="56"/>
      <c r="D1005" s="60"/>
      <c r="E1005" s="112"/>
      <c r="F1005" s="59"/>
      <c r="G1005" s="59"/>
      <c r="H1005" s="59"/>
    </row>
    <row r="1006" spans="3:8" ht="16.5" x14ac:dyDescent="0.25">
      <c r="C1006" s="56"/>
      <c r="D1006" s="60"/>
      <c r="E1006" s="112"/>
      <c r="F1006" s="59"/>
      <c r="G1006" s="59"/>
      <c r="H1006" s="59"/>
    </row>
    <row r="1007" spans="3:8" ht="16.5" x14ac:dyDescent="0.25">
      <c r="C1007" s="56"/>
      <c r="D1007" s="60"/>
      <c r="E1007" s="112"/>
      <c r="F1007" s="59"/>
      <c r="G1007" s="59"/>
      <c r="H1007" s="59"/>
    </row>
    <row r="1008" spans="3:8" ht="16.5" x14ac:dyDescent="0.25">
      <c r="C1008" s="56"/>
      <c r="D1008" s="60"/>
      <c r="E1008" s="112"/>
      <c r="F1008" s="59"/>
      <c r="G1008" s="59"/>
      <c r="H1008" s="59"/>
    </row>
    <row r="1009" spans="3:8" ht="16.5" x14ac:dyDescent="0.25">
      <c r="C1009" s="56"/>
      <c r="D1009" s="60"/>
      <c r="E1009" s="112"/>
      <c r="F1009" s="59"/>
      <c r="G1009" s="59"/>
      <c r="H1009" s="59"/>
    </row>
    <row r="1010" spans="3:8" ht="16.5" x14ac:dyDescent="0.25">
      <c r="C1010" s="56"/>
      <c r="D1010" s="60"/>
      <c r="E1010" s="112"/>
      <c r="F1010" s="59"/>
      <c r="G1010" s="59"/>
      <c r="H1010" s="59"/>
    </row>
    <row r="1011" spans="3:8" ht="16.5" x14ac:dyDescent="0.25">
      <c r="C1011" s="56"/>
      <c r="D1011" s="60"/>
      <c r="E1011" s="112"/>
      <c r="F1011" s="59"/>
      <c r="G1011" s="59"/>
      <c r="H1011" s="59"/>
    </row>
    <row r="1012" spans="3:8" ht="16.5" x14ac:dyDescent="0.25">
      <c r="C1012" s="56"/>
      <c r="D1012" s="60"/>
      <c r="E1012" s="112"/>
      <c r="F1012" s="59"/>
      <c r="G1012" s="59"/>
      <c r="H1012" s="59"/>
    </row>
    <row r="1013" spans="3:8" ht="16.5" x14ac:dyDescent="0.25">
      <c r="C1013" s="56"/>
      <c r="D1013" s="60"/>
      <c r="E1013" s="112"/>
      <c r="F1013" s="59"/>
      <c r="G1013" s="59"/>
      <c r="H1013" s="59"/>
    </row>
    <row r="1014" spans="3:8" ht="16.5" x14ac:dyDescent="0.25">
      <c r="C1014" s="56"/>
      <c r="D1014" s="60"/>
      <c r="E1014" s="112"/>
      <c r="F1014" s="59"/>
      <c r="G1014" s="59"/>
      <c r="H1014" s="59"/>
    </row>
    <row r="1015" spans="3:8" ht="16.5" x14ac:dyDescent="0.25">
      <c r="C1015" s="56"/>
      <c r="D1015" s="60"/>
      <c r="E1015" s="112"/>
      <c r="F1015" s="59"/>
      <c r="G1015" s="59"/>
      <c r="H1015" s="59"/>
    </row>
    <row r="1016" spans="3:8" ht="16.5" x14ac:dyDescent="0.25">
      <c r="C1016" s="56"/>
      <c r="D1016" s="60"/>
      <c r="E1016" s="112"/>
      <c r="F1016" s="59"/>
      <c r="G1016" s="59"/>
      <c r="H1016" s="59"/>
    </row>
    <row r="1017" spans="3:8" ht="16.5" x14ac:dyDescent="0.25">
      <c r="C1017" s="56"/>
      <c r="D1017" s="60"/>
      <c r="E1017" s="112"/>
      <c r="F1017" s="59"/>
      <c r="G1017" s="59"/>
      <c r="H1017" s="59"/>
    </row>
    <row r="1018" spans="3:8" ht="16.5" x14ac:dyDescent="0.25">
      <c r="C1018" s="56"/>
      <c r="D1018" s="60"/>
      <c r="E1018" s="112"/>
      <c r="F1018" s="59"/>
      <c r="G1018" s="59"/>
      <c r="H1018" s="59"/>
    </row>
    <row r="1019" spans="3:8" ht="16.5" x14ac:dyDescent="0.25">
      <c r="C1019" s="56"/>
      <c r="D1019" s="60"/>
      <c r="E1019" s="112"/>
      <c r="F1019" s="59"/>
      <c r="G1019" s="59"/>
      <c r="H1019" s="59"/>
    </row>
    <row r="1020" spans="3:8" ht="16.5" x14ac:dyDescent="0.25">
      <c r="C1020" s="56"/>
      <c r="D1020" s="60"/>
      <c r="E1020" s="112"/>
      <c r="F1020" s="59"/>
      <c r="G1020" s="59"/>
      <c r="H1020" s="59"/>
    </row>
    <row r="1021" spans="3:8" ht="16.5" x14ac:dyDescent="0.25">
      <c r="C1021" s="56"/>
      <c r="D1021" s="60"/>
      <c r="E1021" s="112"/>
      <c r="F1021" s="59"/>
      <c r="G1021" s="59"/>
      <c r="H1021" s="59"/>
    </row>
    <row r="1022" spans="3:8" ht="16.5" x14ac:dyDescent="0.25">
      <c r="C1022" s="56"/>
      <c r="D1022" s="60"/>
      <c r="E1022" s="112"/>
      <c r="F1022" s="59"/>
      <c r="G1022" s="59"/>
      <c r="H1022" s="59"/>
    </row>
    <row r="1023" spans="3:8" ht="16.5" x14ac:dyDescent="0.25">
      <c r="C1023" s="56"/>
      <c r="D1023" s="60"/>
      <c r="E1023" s="112"/>
      <c r="F1023" s="59"/>
      <c r="G1023" s="59"/>
      <c r="H1023" s="59"/>
    </row>
    <row r="1024" spans="3:8" ht="16.5" x14ac:dyDescent="0.25">
      <c r="C1024" s="56"/>
      <c r="D1024" s="60"/>
      <c r="E1024" s="112"/>
      <c r="F1024" s="59"/>
      <c r="G1024" s="59"/>
      <c r="H1024" s="59"/>
    </row>
    <row r="1025" spans="3:8" ht="16.5" x14ac:dyDescent="0.25">
      <c r="C1025" s="56"/>
      <c r="D1025" s="60"/>
      <c r="E1025" s="112"/>
      <c r="F1025" s="59"/>
      <c r="G1025" s="59"/>
      <c r="H1025" s="59"/>
    </row>
    <row r="1026" spans="3:8" ht="16.5" x14ac:dyDescent="0.25">
      <c r="C1026" s="56"/>
      <c r="D1026" s="60"/>
      <c r="E1026" s="112"/>
      <c r="F1026" s="59"/>
      <c r="G1026" s="59"/>
      <c r="H1026" s="59"/>
    </row>
    <row r="1027" spans="3:8" ht="16.5" x14ac:dyDescent="0.25">
      <c r="C1027" s="56"/>
      <c r="D1027" s="60"/>
      <c r="E1027" s="112"/>
      <c r="F1027" s="59"/>
      <c r="G1027" s="59"/>
      <c r="H1027" s="59"/>
    </row>
    <row r="1028" spans="3:8" ht="16.5" x14ac:dyDescent="0.25">
      <c r="C1028" s="56"/>
      <c r="D1028" s="60"/>
      <c r="E1028" s="112"/>
      <c r="F1028" s="59"/>
      <c r="G1028" s="59"/>
      <c r="H1028" s="59"/>
    </row>
    <row r="1029" spans="3:8" ht="16.5" x14ac:dyDescent="0.25">
      <c r="C1029" s="56"/>
      <c r="D1029" s="60"/>
      <c r="E1029" s="112"/>
      <c r="F1029" s="59"/>
      <c r="G1029" s="59"/>
      <c r="H1029" s="59"/>
    </row>
    <row r="1030" spans="3:8" ht="16.5" x14ac:dyDescent="0.25">
      <c r="C1030" s="56"/>
      <c r="D1030" s="60"/>
      <c r="E1030" s="112"/>
      <c r="F1030" s="59"/>
      <c r="G1030" s="59"/>
      <c r="H1030" s="59"/>
    </row>
    <row r="1031" spans="3:8" ht="16.5" x14ac:dyDescent="0.25">
      <c r="C1031" s="56"/>
      <c r="D1031" s="60"/>
      <c r="E1031" s="112"/>
      <c r="F1031" s="59"/>
      <c r="G1031" s="59"/>
      <c r="H1031" s="59"/>
    </row>
    <row r="1032" spans="3:8" ht="16.5" x14ac:dyDescent="0.25">
      <c r="C1032" s="56"/>
      <c r="D1032" s="60"/>
      <c r="E1032" s="112"/>
      <c r="F1032" s="59"/>
      <c r="G1032" s="59"/>
      <c r="H1032" s="59"/>
    </row>
    <row r="1033" spans="3:8" ht="16.5" x14ac:dyDescent="0.25">
      <c r="C1033" s="56"/>
      <c r="D1033" s="60"/>
      <c r="E1033" s="112"/>
      <c r="F1033" s="59"/>
      <c r="G1033" s="59"/>
      <c r="H1033" s="59"/>
    </row>
    <row r="1034" spans="3:8" ht="16.5" x14ac:dyDescent="0.25">
      <c r="C1034" s="56"/>
      <c r="D1034" s="60"/>
      <c r="E1034" s="112"/>
      <c r="F1034" s="59"/>
      <c r="G1034" s="59"/>
      <c r="H1034" s="59"/>
    </row>
    <row r="1035" spans="3:8" ht="16.5" x14ac:dyDescent="0.25">
      <c r="C1035" s="56"/>
      <c r="D1035" s="60"/>
      <c r="E1035" s="112"/>
      <c r="F1035" s="59"/>
      <c r="G1035" s="59"/>
      <c r="H1035" s="59"/>
    </row>
    <row r="1036" spans="3:8" ht="16.5" x14ac:dyDescent="0.25">
      <c r="C1036" s="56"/>
      <c r="D1036" s="60"/>
      <c r="E1036" s="112"/>
      <c r="F1036" s="59"/>
      <c r="G1036" s="59"/>
      <c r="H1036" s="59"/>
    </row>
    <row r="1037" spans="3:8" ht="16.5" x14ac:dyDescent="0.25">
      <c r="C1037" s="56"/>
      <c r="D1037" s="60"/>
      <c r="E1037" s="112"/>
      <c r="F1037" s="59"/>
      <c r="G1037" s="59"/>
      <c r="H1037" s="59"/>
    </row>
    <row r="1038" spans="3:8" ht="16.5" x14ac:dyDescent="0.25">
      <c r="C1038" s="56"/>
      <c r="D1038" s="60"/>
      <c r="E1038" s="112"/>
      <c r="F1038" s="59"/>
      <c r="G1038" s="59"/>
      <c r="H1038" s="59"/>
    </row>
    <row r="1039" spans="3:8" ht="16.5" x14ac:dyDescent="0.25">
      <c r="C1039" s="56"/>
      <c r="D1039" s="60"/>
      <c r="E1039" s="112"/>
      <c r="F1039" s="59"/>
      <c r="G1039" s="59"/>
      <c r="H1039" s="59"/>
    </row>
    <row r="1040" spans="3:8" ht="16.5" x14ac:dyDescent="0.25">
      <c r="C1040" s="56"/>
      <c r="D1040" s="60"/>
      <c r="E1040" s="112"/>
      <c r="F1040" s="59"/>
      <c r="G1040" s="59"/>
      <c r="H1040" s="59"/>
    </row>
    <row r="1041" spans="3:8" ht="15.75" x14ac:dyDescent="0.25">
      <c r="C1041" s="56"/>
      <c r="D1041" s="60"/>
      <c r="E1041" s="108"/>
      <c r="F1041" s="59"/>
      <c r="G1041" s="59"/>
      <c r="H1041" s="59"/>
    </row>
    <row r="1042" spans="3:8" ht="15.75" x14ac:dyDescent="0.25">
      <c r="C1042" s="56"/>
      <c r="D1042" s="60"/>
      <c r="E1042" s="108"/>
      <c r="F1042" s="59"/>
      <c r="G1042" s="59"/>
      <c r="H1042" s="59"/>
    </row>
    <row r="1043" spans="3:8" ht="16.5" x14ac:dyDescent="0.25">
      <c r="C1043" s="56"/>
      <c r="D1043" s="60"/>
      <c r="E1043" s="112"/>
      <c r="F1043" s="59"/>
      <c r="G1043" s="59"/>
      <c r="H1043" s="59"/>
    </row>
    <row r="1044" spans="3:8" ht="16.5" x14ac:dyDescent="0.25">
      <c r="C1044" s="56"/>
      <c r="D1044" s="60"/>
      <c r="E1044" s="112"/>
      <c r="F1044" s="59"/>
      <c r="G1044" s="59"/>
      <c r="H1044" s="59"/>
    </row>
    <row r="1045" spans="3:8" ht="16.5" x14ac:dyDescent="0.25">
      <c r="C1045" s="56"/>
      <c r="D1045" s="60"/>
      <c r="E1045" s="112"/>
      <c r="F1045" s="59"/>
      <c r="G1045" s="59"/>
      <c r="H1045" s="59"/>
    </row>
    <row r="1046" spans="3:8" ht="16.5" x14ac:dyDescent="0.25">
      <c r="C1046" s="56"/>
      <c r="D1046" s="60"/>
      <c r="E1046" s="112"/>
      <c r="F1046" s="59"/>
      <c r="G1046" s="59"/>
      <c r="H1046" s="59"/>
    </row>
    <row r="1047" spans="3:8" ht="16.5" x14ac:dyDescent="0.25">
      <c r="C1047" s="56"/>
      <c r="D1047" s="60"/>
      <c r="E1047" s="112"/>
      <c r="F1047" s="59"/>
      <c r="G1047" s="59"/>
      <c r="H1047" s="59"/>
    </row>
    <row r="1048" spans="3:8" ht="16.5" x14ac:dyDescent="0.25">
      <c r="C1048" s="56"/>
      <c r="D1048" s="60"/>
      <c r="E1048" s="112"/>
      <c r="F1048" s="59"/>
      <c r="G1048" s="59"/>
      <c r="H1048" s="59"/>
    </row>
    <row r="1049" spans="3:8" ht="16.5" x14ac:dyDescent="0.25">
      <c r="C1049" s="56"/>
      <c r="D1049" s="60"/>
      <c r="E1049" s="112"/>
      <c r="F1049" s="59"/>
      <c r="G1049" s="59"/>
      <c r="H1049" s="59"/>
    </row>
    <row r="1050" spans="3:8" ht="16.5" x14ac:dyDescent="0.25">
      <c r="C1050" s="56"/>
      <c r="D1050" s="60"/>
      <c r="E1050" s="112"/>
      <c r="F1050" s="59"/>
      <c r="G1050" s="59"/>
      <c r="H1050" s="59"/>
    </row>
    <row r="1051" spans="3:8" ht="16.5" x14ac:dyDescent="0.25">
      <c r="C1051" s="56"/>
      <c r="D1051" s="60"/>
      <c r="E1051" s="112"/>
      <c r="F1051" s="59"/>
      <c r="G1051" s="59"/>
      <c r="H1051" s="59"/>
    </row>
    <row r="1052" spans="3:8" ht="16.5" x14ac:dyDescent="0.25">
      <c r="C1052" s="56"/>
      <c r="D1052" s="60"/>
      <c r="E1052" s="112"/>
      <c r="F1052" s="59"/>
      <c r="G1052" s="59"/>
      <c r="H1052" s="59"/>
    </row>
    <row r="1053" spans="3:8" ht="16.5" x14ac:dyDescent="0.25">
      <c r="C1053" s="56"/>
      <c r="D1053" s="60"/>
      <c r="E1053" s="112"/>
      <c r="F1053" s="59"/>
      <c r="G1053" s="59"/>
      <c r="H1053" s="59"/>
    </row>
    <row r="1054" spans="3:8" ht="16.5" x14ac:dyDescent="0.25">
      <c r="C1054" s="56"/>
      <c r="D1054" s="60"/>
      <c r="E1054" s="112"/>
      <c r="F1054" s="59"/>
      <c r="G1054" s="59"/>
      <c r="H1054" s="59"/>
    </row>
    <row r="1055" spans="3:8" ht="16.5" x14ac:dyDescent="0.25">
      <c r="C1055" s="56"/>
      <c r="D1055" s="60"/>
      <c r="E1055" s="112"/>
      <c r="F1055" s="59"/>
      <c r="G1055" s="59"/>
      <c r="H1055" s="59"/>
    </row>
    <row r="1056" spans="3:8" ht="16.5" x14ac:dyDescent="0.25">
      <c r="C1056" s="56"/>
      <c r="D1056" s="60"/>
      <c r="E1056" s="112"/>
      <c r="F1056" s="59"/>
      <c r="G1056" s="59"/>
      <c r="H1056" s="59"/>
    </row>
    <row r="1057" spans="3:8" ht="16.5" x14ac:dyDescent="0.25">
      <c r="C1057" s="56"/>
      <c r="D1057" s="60"/>
      <c r="E1057" s="112"/>
      <c r="F1057" s="59"/>
      <c r="G1057" s="59"/>
      <c r="H1057" s="59"/>
    </row>
    <row r="1058" spans="3:8" ht="16.5" x14ac:dyDescent="0.25">
      <c r="C1058" s="56"/>
      <c r="D1058" s="60"/>
      <c r="E1058" s="112"/>
      <c r="F1058" s="59"/>
      <c r="G1058" s="59"/>
      <c r="H1058" s="59"/>
    </row>
    <row r="1059" spans="3:8" ht="16.5" x14ac:dyDescent="0.25">
      <c r="C1059" s="56"/>
      <c r="D1059" s="60"/>
      <c r="E1059" s="112"/>
      <c r="F1059" s="59"/>
      <c r="G1059" s="59"/>
      <c r="H1059" s="59"/>
    </row>
    <row r="1060" spans="3:8" ht="16.5" x14ac:dyDescent="0.25">
      <c r="C1060" s="56"/>
      <c r="D1060" s="60"/>
      <c r="E1060" s="112"/>
      <c r="F1060" s="59"/>
      <c r="G1060" s="59"/>
      <c r="H1060" s="59"/>
    </row>
    <row r="1061" spans="3:8" ht="16.5" x14ac:dyDescent="0.25">
      <c r="C1061" s="56"/>
      <c r="D1061" s="60"/>
      <c r="E1061" s="112"/>
      <c r="F1061" s="59"/>
      <c r="G1061" s="59"/>
      <c r="H1061" s="59"/>
    </row>
    <row r="1062" spans="3:8" ht="16.5" x14ac:dyDescent="0.25">
      <c r="C1062" s="56"/>
      <c r="D1062" s="60"/>
      <c r="E1062" s="112"/>
      <c r="F1062" s="59"/>
      <c r="G1062" s="59"/>
      <c r="H1062" s="59"/>
    </row>
    <row r="1063" spans="3:8" ht="16.5" x14ac:dyDescent="0.25">
      <c r="C1063" s="56"/>
      <c r="D1063" s="60"/>
      <c r="E1063" s="112"/>
      <c r="F1063" s="59"/>
      <c r="G1063" s="59"/>
      <c r="H1063" s="59"/>
    </row>
    <row r="1064" spans="3:8" ht="16.5" x14ac:dyDescent="0.25">
      <c r="C1064" s="56"/>
      <c r="D1064" s="60"/>
      <c r="E1064" s="112"/>
      <c r="F1064" s="59"/>
      <c r="G1064" s="59"/>
      <c r="H1064" s="59"/>
    </row>
    <row r="1065" spans="3:8" ht="16.5" x14ac:dyDescent="0.25">
      <c r="C1065" s="56"/>
      <c r="D1065" s="60"/>
      <c r="E1065" s="112"/>
      <c r="F1065" s="59"/>
      <c r="G1065" s="59"/>
      <c r="H1065" s="59"/>
    </row>
    <row r="1066" spans="3:8" ht="16.5" x14ac:dyDescent="0.25">
      <c r="C1066" s="56"/>
      <c r="D1066" s="60"/>
      <c r="E1066" s="112"/>
      <c r="F1066" s="59"/>
      <c r="G1066" s="59"/>
      <c r="H1066" s="59"/>
    </row>
    <row r="1067" spans="3:8" ht="16.5" x14ac:dyDescent="0.25">
      <c r="C1067" s="56"/>
      <c r="D1067" s="60"/>
      <c r="E1067" s="112"/>
      <c r="F1067" s="59"/>
      <c r="G1067" s="59"/>
      <c r="H1067" s="59"/>
    </row>
    <row r="1068" spans="3:8" ht="16.5" x14ac:dyDescent="0.25">
      <c r="C1068" s="56"/>
      <c r="D1068" s="60"/>
      <c r="E1068" s="112"/>
      <c r="F1068" s="59"/>
      <c r="G1068" s="59"/>
      <c r="H1068" s="59"/>
    </row>
    <row r="1069" spans="3:8" ht="16.5" x14ac:dyDescent="0.25">
      <c r="C1069" s="56"/>
      <c r="D1069" s="60"/>
      <c r="E1069" s="112"/>
      <c r="F1069" s="59"/>
      <c r="G1069" s="59"/>
      <c r="H1069" s="59"/>
    </row>
    <row r="1070" spans="3:8" ht="16.5" x14ac:dyDescent="0.25">
      <c r="C1070" s="56"/>
      <c r="D1070" s="60"/>
      <c r="E1070" s="112"/>
      <c r="F1070" s="59"/>
      <c r="G1070" s="59"/>
      <c r="H1070" s="59"/>
    </row>
    <row r="1071" spans="3:8" ht="16.5" x14ac:dyDescent="0.25">
      <c r="C1071" s="56"/>
      <c r="D1071" s="60"/>
      <c r="E1071" s="112"/>
      <c r="F1071" s="59"/>
      <c r="G1071" s="59"/>
      <c r="H1071" s="59"/>
    </row>
    <row r="1072" spans="3:8" ht="16.5" x14ac:dyDescent="0.25">
      <c r="C1072" s="56"/>
      <c r="D1072" s="60"/>
      <c r="E1072" s="112"/>
      <c r="F1072" s="59"/>
      <c r="G1072" s="59"/>
      <c r="H1072" s="59"/>
    </row>
    <row r="1073" spans="3:8" ht="16.5" x14ac:dyDescent="0.25">
      <c r="C1073" s="56"/>
      <c r="D1073" s="60"/>
      <c r="E1073" s="112"/>
      <c r="F1073" s="59"/>
      <c r="G1073" s="59"/>
      <c r="H1073" s="59"/>
    </row>
    <row r="1074" spans="3:8" ht="16.5" x14ac:dyDescent="0.25">
      <c r="C1074" s="56"/>
      <c r="D1074" s="60"/>
      <c r="E1074" s="112"/>
      <c r="F1074" s="59"/>
      <c r="G1074" s="59"/>
      <c r="H1074" s="59"/>
    </row>
    <row r="1075" spans="3:8" ht="16.5" x14ac:dyDescent="0.25">
      <c r="C1075" s="56"/>
      <c r="D1075" s="60"/>
      <c r="E1075" s="112"/>
      <c r="F1075" s="59"/>
      <c r="G1075" s="59"/>
      <c r="H1075" s="59"/>
    </row>
    <row r="1076" spans="3:8" ht="16.5" x14ac:dyDescent="0.25">
      <c r="C1076" s="56"/>
      <c r="D1076" s="60"/>
      <c r="E1076" s="112"/>
      <c r="F1076" s="59"/>
      <c r="G1076" s="59"/>
      <c r="H1076" s="59"/>
    </row>
    <row r="1077" spans="3:8" ht="16.5" x14ac:dyDescent="0.25">
      <c r="C1077" s="56"/>
      <c r="D1077" s="60"/>
      <c r="E1077" s="112"/>
      <c r="F1077" s="59"/>
      <c r="G1077" s="59"/>
      <c r="H1077" s="59"/>
    </row>
    <row r="1078" spans="3:8" ht="16.5" x14ac:dyDescent="0.25">
      <c r="C1078" s="56"/>
      <c r="D1078" s="60"/>
      <c r="E1078" s="112"/>
      <c r="F1078" s="59"/>
      <c r="G1078" s="59"/>
      <c r="H1078" s="59"/>
    </row>
    <row r="1079" spans="3:8" ht="16.5" x14ac:dyDescent="0.25">
      <c r="C1079" s="56"/>
      <c r="D1079" s="60"/>
      <c r="E1079" s="112"/>
      <c r="F1079" s="59"/>
      <c r="G1079" s="59"/>
      <c r="H1079" s="59"/>
    </row>
    <row r="1080" spans="3:8" ht="16.5" x14ac:dyDescent="0.25">
      <c r="C1080" s="56"/>
      <c r="D1080" s="60"/>
      <c r="E1080" s="112"/>
      <c r="F1080" s="59"/>
      <c r="G1080" s="59"/>
      <c r="H1080" s="59"/>
    </row>
    <row r="1081" spans="3:8" ht="16.5" x14ac:dyDescent="0.25">
      <c r="C1081" s="56"/>
      <c r="D1081" s="60"/>
      <c r="E1081" s="112"/>
      <c r="F1081" s="59"/>
      <c r="G1081" s="59"/>
      <c r="H1081" s="59"/>
    </row>
    <row r="1082" spans="3:8" ht="16.5" x14ac:dyDescent="0.25">
      <c r="C1082" s="56"/>
      <c r="D1082" s="60"/>
      <c r="E1082" s="112"/>
      <c r="F1082" s="59"/>
      <c r="G1082" s="59"/>
      <c r="H1082" s="59"/>
    </row>
    <row r="1083" spans="3:8" ht="15.75" x14ac:dyDescent="0.25">
      <c r="C1083" s="56"/>
      <c r="D1083" s="60"/>
      <c r="E1083" s="108"/>
      <c r="F1083" s="59"/>
      <c r="G1083" s="59"/>
      <c r="H1083" s="59"/>
    </row>
    <row r="1084" spans="3:8" ht="15.75" x14ac:dyDescent="0.25">
      <c r="C1084" s="56"/>
      <c r="D1084" s="60"/>
      <c r="E1084" s="108"/>
      <c r="F1084" s="59"/>
      <c r="G1084" s="59"/>
      <c r="H1084" s="59"/>
    </row>
    <row r="1085" spans="3:8" ht="16.5" x14ac:dyDescent="0.25">
      <c r="C1085" s="56"/>
      <c r="D1085" s="60"/>
      <c r="E1085" s="122"/>
      <c r="F1085" s="59"/>
      <c r="G1085" s="59"/>
      <c r="H1085" s="59"/>
    </row>
    <row r="1086" spans="3:8" ht="16.5" x14ac:dyDescent="0.25">
      <c r="C1086" s="56"/>
      <c r="D1086" s="60"/>
      <c r="E1086" s="122"/>
      <c r="F1086" s="59"/>
      <c r="G1086" s="59"/>
      <c r="H1086" s="59"/>
    </row>
    <row r="1087" spans="3:8" ht="16.5" x14ac:dyDescent="0.25">
      <c r="C1087" s="56"/>
      <c r="D1087" s="60"/>
      <c r="E1087" s="122"/>
      <c r="F1087" s="59"/>
      <c r="G1087" s="59"/>
      <c r="H1087" s="59"/>
    </row>
    <row r="1088" spans="3:8" ht="16.5" x14ac:dyDescent="0.25">
      <c r="C1088" s="56"/>
      <c r="D1088" s="60"/>
      <c r="E1088" s="122"/>
      <c r="F1088" s="59"/>
      <c r="G1088" s="59"/>
      <c r="H1088" s="59"/>
    </row>
    <row r="1089" spans="3:8" ht="16.5" x14ac:dyDescent="0.25">
      <c r="C1089" s="56"/>
      <c r="D1089" s="60"/>
      <c r="E1089" s="122"/>
      <c r="F1089" s="59"/>
      <c r="G1089" s="59"/>
      <c r="H1089" s="59"/>
    </row>
    <row r="1090" spans="3:8" ht="16.5" x14ac:dyDescent="0.25">
      <c r="C1090" s="56"/>
      <c r="D1090" s="60"/>
      <c r="E1090" s="122"/>
      <c r="F1090" s="59"/>
      <c r="G1090" s="59"/>
      <c r="H1090" s="59"/>
    </row>
    <row r="1091" spans="3:8" ht="16.5" x14ac:dyDescent="0.25">
      <c r="C1091" s="56"/>
      <c r="D1091" s="60"/>
      <c r="E1091" s="122"/>
      <c r="F1091" s="59"/>
      <c r="G1091" s="59"/>
      <c r="H1091" s="59"/>
    </row>
    <row r="1092" spans="3:8" ht="16.5" x14ac:dyDescent="0.25">
      <c r="C1092" s="56"/>
      <c r="D1092" s="60"/>
      <c r="E1092" s="122"/>
      <c r="F1092" s="59"/>
      <c r="G1092" s="59"/>
      <c r="H1092" s="59"/>
    </row>
    <row r="1093" spans="3:8" ht="16.5" x14ac:dyDescent="0.25">
      <c r="C1093" s="56"/>
      <c r="D1093" s="60"/>
      <c r="E1093" s="122"/>
      <c r="F1093" s="59"/>
      <c r="G1093" s="59"/>
      <c r="H1093" s="59"/>
    </row>
    <row r="1094" spans="3:8" ht="16.5" x14ac:dyDescent="0.25">
      <c r="C1094" s="56"/>
      <c r="D1094" s="60"/>
      <c r="E1094" s="122"/>
      <c r="F1094" s="59"/>
      <c r="G1094" s="59"/>
      <c r="H1094" s="59"/>
    </row>
    <row r="1095" spans="3:8" ht="16.5" x14ac:dyDescent="0.25">
      <c r="C1095" s="56"/>
      <c r="D1095" s="60"/>
      <c r="E1095" s="122"/>
      <c r="F1095" s="59"/>
      <c r="G1095" s="59"/>
      <c r="H1095" s="59"/>
    </row>
    <row r="1096" spans="3:8" ht="16.5" x14ac:dyDescent="0.25">
      <c r="C1096" s="56"/>
      <c r="D1096" s="60"/>
      <c r="E1096" s="122"/>
      <c r="F1096" s="59"/>
      <c r="G1096" s="59"/>
      <c r="H1096" s="59"/>
    </row>
    <row r="1097" spans="3:8" ht="16.5" x14ac:dyDescent="0.25">
      <c r="C1097" s="56"/>
      <c r="D1097" s="60"/>
      <c r="E1097" s="122"/>
      <c r="F1097" s="59"/>
      <c r="G1097" s="59"/>
      <c r="H1097" s="59"/>
    </row>
    <row r="1098" spans="3:8" ht="16.5" x14ac:dyDescent="0.25">
      <c r="C1098" s="56"/>
      <c r="D1098" s="60"/>
      <c r="E1098" s="122"/>
      <c r="F1098" s="59"/>
      <c r="G1098" s="59"/>
      <c r="H1098" s="59"/>
    </row>
    <row r="1099" spans="3:8" ht="16.5" x14ac:dyDescent="0.25">
      <c r="C1099" s="56"/>
      <c r="D1099" s="60"/>
      <c r="E1099" s="122"/>
      <c r="F1099" s="59"/>
      <c r="G1099" s="59"/>
      <c r="H1099" s="59"/>
    </row>
    <row r="1100" spans="3:8" ht="16.5" x14ac:dyDescent="0.25">
      <c r="C1100" s="56"/>
      <c r="D1100" s="60"/>
      <c r="E1100" s="122"/>
      <c r="F1100" s="59"/>
      <c r="G1100" s="59"/>
      <c r="H1100" s="59"/>
    </row>
    <row r="1101" spans="3:8" ht="16.5" x14ac:dyDescent="0.25">
      <c r="C1101" s="56"/>
      <c r="D1101" s="60"/>
      <c r="E1101" s="122"/>
      <c r="F1101" s="59"/>
      <c r="G1101" s="59"/>
      <c r="H1101" s="59"/>
    </row>
    <row r="1102" spans="3:8" ht="16.5" x14ac:dyDescent="0.25">
      <c r="C1102" s="56"/>
      <c r="D1102" s="60"/>
      <c r="E1102" s="122"/>
      <c r="F1102" s="59"/>
      <c r="G1102" s="59"/>
      <c r="H1102" s="59"/>
    </row>
    <row r="1103" spans="3:8" ht="16.5" x14ac:dyDescent="0.25">
      <c r="C1103" s="56"/>
      <c r="D1103" s="60"/>
      <c r="E1103" s="122"/>
      <c r="F1103" s="59"/>
      <c r="G1103" s="59"/>
      <c r="H1103" s="59"/>
    </row>
    <row r="1104" spans="3:8" ht="16.5" x14ac:dyDescent="0.25">
      <c r="C1104" s="56"/>
      <c r="D1104" s="60"/>
      <c r="E1104" s="122"/>
      <c r="F1104" s="59"/>
      <c r="G1104" s="59"/>
      <c r="H1104" s="59"/>
    </row>
    <row r="1105" spans="3:8" ht="16.5" x14ac:dyDescent="0.25">
      <c r="C1105" s="56"/>
      <c r="D1105" s="60"/>
      <c r="E1105" s="122"/>
      <c r="F1105" s="59"/>
      <c r="G1105" s="59"/>
      <c r="H1105" s="59"/>
    </row>
    <row r="1106" spans="3:8" ht="16.5" x14ac:dyDescent="0.25">
      <c r="C1106" s="56"/>
      <c r="D1106" s="60"/>
      <c r="E1106" s="122"/>
      <c r="F1106" s="59"/>
      <c r="G1106" s="59"/>
      <c r="H1106" s="59"/>
    </row>
    <row r="1107" spans="3:8" ht="16.5" x14ac:dyDescent="0.25">
      <c r="C1107" s="56"/>
      <c r="D1107" s="60"/>
      <c r="E1107" s="122"/>
      <c r="F1107" s="59"/>
      <c r="G1107" s="59"/>
      <c r="H1107" s="59"/>
    </row>
    <row r="1108" spans="3:8" ht="16.5" x14ac:dyDescent="0.25">
      <c r="C1108" s="56"/>
      <c r="D1108" s="60"/>
      <c r="E1108" s="122"/>
      <c r="F1108" s="59"/>
      <c r="G1108" s="59"/>
      <c r="H1108" s="59"/>
    </row>
    <row r="1109" spans="3:8" ht="16.5" x14ac:dyDescent="0.25">
      <c r="C1109" s="56"/>
      <c r="D1109" s="60"/>
      <c r="E1109" s="122"/>
      <c r="F1109" s="59"/>
      <c r="G1109" s="59"/>
      <c r="H1109" s="59"/>
    </row>
    <row r="1110" spans="3:8" ht="16.5" x14ac:dyDescent="0.25">
      <c r="C1110" s="56"/>
      <c r="D1110" s="60"/>
      <c r="E1110" s="122"/>
      <c r="F1110" s="59"/>
      <c r="G1110" s="59"/>
      <c r="H1110" s="59"/>
    </row>
    <row r="1111" spans="3:8" ht="16.5" x14ac:dyDescent="0.25">
      <c r="C1111" s="56"/>
      <c r="D1111" s="60"/>
      <c r="E1111" s="122"/>
      <c r="F1111" s="59"/>
      <c r="G1111" s="59"/>
      <c r="H1111" s="59"/>
    </row>
    <row r="1112" spans="3:8" ht="16.5" x14ac:dyDescent="0.25">
      <c r="C1112" s="56"/>
      <c r="D1112" s="60"/>
      <c r="E1112" s="122"/>
      <c r="F1112" s="59"/>
      <c r="G1112" s="59"/>
      <c r="H1112" s="59"/>
    </row>
    <row r="1113" spans="3:8" ht="16.5" x14ac:dyDescent="0.25">
      <c r="C1113" s="56"/>
      <c r="D1113" s="60"/>
      <c r="E1113" s="122"/>
      <c r="F1113" s="59"/>
      <c r="G1113" s="59"/>
      <c r="H1113" s="59"/>
    </row>
    <row r="1114" spans="3:8" ht="16.5" x14ac:dyDescent="0.25">
      <c r="C1114" s="56"/>
      <c r="D1114" s="60"/>
      <c r="E1114" s="122"/>
      <c r="F1114" s="59"/>
      <c r="G1114" s="59"/>
      <c r="H1114" s="59"/>
    </row>
    <row r="1115" spans="3:8" ht="16.5" x14ac:dyDescent="0.25">
      <c r="C1115" s="56"/>
      <c r="D1115" s="60"/>
      <c r="E1115" s="122"/>
      <c r="F1115" s="59"/>
      <c r="G1115" s="59"/>
      <c r="H1115" s="59"/>
    </row>
    <row r="1116" spans="3:8" ht="16.5" x14ac:dyDescent="0.25">
      <c r="C1116" s="56"/>
      <c r="D1116" s="60"/>
      <c r="E1116" s="122"/>
      <c r="F1116" s="59"/>
      <c r="G1116" s="59"/>
      <c r="H1116" s="59"/>
    </row>
    <row r="1117" spans="3:8" ht="16.5" x14ac:dyDescent="0.25">
      <c r="C1117" s="56"/>
      <c r="D1117" s="60"/>
      <c r="E1117" s="122"/>
      <c r="F1117" s="59"/>
      <c r="G1117" s="59"/>
      <c r="H1117" s="59"/>
    </row>
    <row r="1118" spans="3:8" ht="16.5" x14ac:dyDescent="0.25">
      <c r="C1118" s="56"/>
      <c r="D1118" s="60"/>
      <c r="E1118" s="122"/>
      <c r="F1118" s="59"/>
      <c r="G1118" s="59"/>
      <c r="H1118" s="59"/>
    </row>
    <row r="1119" spans="3:8" ht="16.5" x14ac:dyDescent="0.25">
      <c r="C1119" s="56"/>
      <c r="D1119" s="60"/>
      <c r="E1119" s="122"/>
      <c r="F1119" s="59"/>
      <c r="G1119" s="59"/>
      <c r="H1119" s="59"/>
    </row>
    <row r="1120" spans="3:8" ht="16.5" x14ac:dyDescent="0.25">
      <c r="C1120" s="56"/>
      <c r="D1120" s="60"/>
      <c r="E1120" s="122"/>
      <c r="F1120" s="59"/>
      <c r="G1120" s="59"/>
      <c r="H1120" s="59"/>
    </row>
    <row r="1121" spans="3:8" ht="16.5" x14ac:dyDescent="0.25">
      <c r="C1121" s="56"/>
      <c r="D1121" s="60"/>
      <c r="E1121" s="122"/>
      <c r="F1121" s="59"/>
      <c r="G1121" s="59"/>
      <c r="H1121" s="59"/>
    </row>
    <row r="1122" spans="3:8" ht="16.5" x14ac:dyDescent="0.25">
      <c r="C1122" s="56"/>
      <c r="D1122" s="60"/>
      <c r="E1122" s="122"/>
      <c r="F1122" s="59"/>
      <c r="G1122" s="59"/>
      <c r="H1122" s="59"/>
    </row>
    <row r="1123" spans="3:8" ht="16.5" x14ac:dyDescent="0.25">
      <c r="C1123" s="56"/>
      <c r="D1123" s="60"/>
      <c r="E1123" s="122"/>
      <c r="F1123" s="59"/>
      <c r="G1123" s="59"/>
      <c r="H1123" s="59"/>
    </row>
    <row r="1124" spans="3:8" ht="16.5" x14ac:dyDescent="0.25">
      <c r="C1124" s="56"/>
      <c r="D1124" s="60"/>
      <c r="E1124" s="122"/>
      <c r="F1124" s="59"/>
      <c r="G1124" s="59"/>
      <c r="H1124" s="59"/>
    </row>
    <row r="1125" spans="3:8" ht="16.5" x14ac:dyDescent="0.25">
      <c r="C1125" s="56"/>
      <c r="D1125" s="60"/>
      <c r="E1125" s="122"/>
      <c r="F1125" s="59"/>
      <c r="G1125" s="59"/>
      <c r="H1125" s="59"/>
    </row>
    <row r="1126" spans="3:8" ht="16.5" x14ac:dyDescent="0.25">
      <c r="C1126" s="56"/>
      <c r="D1126" s="60"/>
      <c r="E1126" s="122"/>
      <c r="F1126" s="59"/>
      <c r="G1126" s="59"/>
      <c r="H1126" s="59"/>
    </row>
    <row r="1127" spans="3:8" ht="16.5" x14ac:dyDescent="0.25">
      <c r="C1127" s="56"/>
      <c r="D1127" s="60"/>
      <c r="E1127" s="122"/>
      <c r="F1127" s="59"/>
      <c r="G1127" s="59"/>
      <c r="H1127" s="59"/>
    </row>
    <row r="1128" spans="3:8" ht="16.5" x14ac:dyDescent="0.25">
      <c r="C1128" s="56"/>
      <c r="D1128" s="60"/>
      <c r="E1128" s="122"/>
      <c r="F1128" s="59"/>
      <c r="G1128" s="59"/>
      <c r="H1128" s="59"/>
    </row>
    <row r="1129" spans="3:8" ht="16.5" x14ac:dyDescent="0.25">
      <c r="C1129" s="56"/>
      <c r="D1129" s="60"/>
      <c r="E1129" s="122"/>
      <c r="F1129" s="59"/>
      <c r="G1129" s="59"/>
      <c r="H1129" s="59"/>
    </row>
    <row r="1130" spans="3:8" ht="16.5" x14ac:dyDescent="0.25">
      <c r="C1130" s="56"/>
      <c r="D1130" s="60"/>
      <c r="E1130" s="122"/>
      <c r="F1130" s="59"/>
      <c r="G1130" s="59"/>
      <c r="H1130" s="59"/>
    </row>
    <row r="1131" spans="3:8" ht="16.5" x14ac:dyDescent="0.25">
      <c r="C1131" s="56"/>
      <c r="D1131" s="60"/>
      <c r="E1131" s="122"/>
      <c r="F1131" s="59"/>
      <c r="G1131" s="59"/>
      <c r="H1131" s="59"/>
    </row>
    <row r="1132" spans="3:8" ht="16.5" x14ac:dyDescent="0.25">
      <c r="C1132" s="56"/>
      <c r="D1132" s="60"/>
      <c r="E1132" s="122"/>
      <c r="F1132" s="59"/>
      <c r="G1132" s="59"/>
      <c r="H1132" s="59"/>
    </row>
    <row r="1133" spans="3:8" ht="16.5" x14ac:dyDescent="0.25">
      <c r="C1133" s="56"/>
      <c r="D1133" s="60"/>
      <c r="E1133" s="122"/>
      <c r="F1133" s="59"/>
      <c r="G1133" s="59"/>
      <c r="H1133" s="59"/>
    </row>
    <row r="1134" spans="3:8" ht="16.5" x14ac:dyDescent="0.25">
      <c r="C1134" s="56"/>
      <c r="D1134" s="60"/>
      <c r="E1134" s="122"/>
      <c r="F1134" s="59"/>
      <c r="G1134" s="59"/>
      <c r="H1134" s="59"/>
    </row>
    <row r="1135" spans="3:8" ht="16.5" x14ac:dyDescent="0.25">
      <c r="C1135" s="56"/>
      <c r="D1135" s="60"/>
      <c r="E1135" s="122"/>
      <c r="F1135" s="59"/>
      <c r="G1135" s="59"/>
      <c r="H1135" s="59"/>
    </row>
    <row r="1136" spans="3:8" ht="16.5" x14ac:dyDescent="0.25">
      <c r="C1136" s="56"/>
      <c r="D1136" s="60"/>
      <c r="E1136" s="122"/>
      <c r="F1136" s="59"/>
      <c r="G1136" s="59"/>
      <c r="H1136" s="59"/>
    </row>
    <row r="1137" spans="3:8" ht="16.5" x14ac:dyDescent="0.25">
      <c r="C1137" s="56"/>
      <c r="D1137" s="60"/>
      <c r="E1137" s="122"/>
      <c r="F1137" s="59"/>
      <c r="G1137" s="59"/>
      <c r="H1137" s="59"/>
    </row>
    <row r="1138" spans="3:8" ht="16.5" x14ac:dyDescent="0.25">
      <c r="C1138" s="56"/>
      <c r="D1138" s="60"/>
      <c r="E1138" s="122"/>
      <c r="F1138" s="59"/>
      <c r="G1138" s="59"/>
      <c r="H1138" s="59"/>
    </row>
    <row r="1139" spans="3:8" ht="16.5" x14ac:dyDescent="0.25">
      <c r="C1139" s="56"/>
      <c r="D1139" s="60"/>
      <c r="E1139" s="122"/>
      <c r="F1139" s="59"/>
      <c r="G1139" s="59"/>
      <c r="H1139" s="59"/>
    </row>
    <row r="1140" spans="3:8" ht="16.5" x14ac:dyDescent="0.25">
      <c r="C1140" s="56"/>
      <c r="D1140" s="60"/>
      <c r="E1140" s="122"/>
      <c r="F1140" s="59"/>
      <c r="G1140" s="59"/>
      <c r="H1140" s="59"/>
    </row>
    <row r="1141" spans="3:8" ht="16.5" x14ac:dyDescent="0.25">
      <c r="C1141" s="56"/>
      <c r="D1141" s="60"/>
      <c r="E1141" s="122"/>
      <c r="F1141" s="59"/>
      <c r="G1141" s="59"/>
      <c r="H1141" s="59"/>
    </row>
    <row r="1142" spans="3:8" ht="16.5" x14ac:dyDescent="0.25">
      <c r="C1142" s="56"/>
      <c r="D1142" s="60"/>
      <c r="E1142" s="122"/>
      <c r="F1142" s="59"/>
      <c r="G1142" s="59"/>
      <c r="H1142" s="59"/>
    </row>
    <row r="1143" spans="3:8" ht="16.5" x14ac:dyDescent="0.25">
      <c r="C1143" s="56"/>
      <c r="D1143" s="60"/>
      <c r="E1143" s="122"/>
      <c r="F1143" s="59"/>
      <c r="G1143" s="59"/>
      <c r="H1143" s="59"/>
    </row>
    <row r="1144" spans="3:8" ht="16.5" x14ac:dyDescent="0.25">
      <c r="C1144" s="56"/>
      <c r="D1144" s="60"/>
      <c r="E1144" s="122"/>
      <c r="F1144" s="59"/>
      <c r="G1144" s="59"/>
      <c r="H1144" s="59"/>
    </row>
    <row r="1145" spans="3:8" ht="16.5" x14ac:dyDescent="0.25">
      <c r="C1145" s="56"/>
      <c r="D1145" s="60"/>
      <c r="E1145" s="122"/>
      <c r="F1145" s="59"/>
      <c r="G1145" s="59"/>
      <c r="H1145" s="59"/>
    </row>
    <row r="1146" spans="3:8" ht="16.5" x14ac:dyDescent="0.25">
      <c r="C1146" s="56"/>
      <c r="D1146" s="60"/>
      <c r="E1146" s="122"/>
      <c r="F1146" s="59"/>
      <c r="G1146" s="59"/>
      <c r="H1146" s="59"/>
    </row>
    <row r="1147" spans="3:8" ht="16.5" x14ac:dyDescent="0.25">
      <c r="C1147" s="56"/>
      <c r="D1147" s="60"/>
      <c r="E1147" s="122"/>
      <c r="F1147" s="59"/>
      <c r="G1147" s="59"/>
      <c r="H1147" s="59"/>
    </row>
    <row r="1148" spans="3:8" ht="16.5" x14ac:dyDescent="0.25">
      <c r="C1148" s="56"/>
      <c r="D1148" s="60"/>
      <c r="E1148" s="122"/>
      <c r="F1148" s="59"/>
      <c r="G1148" s="59"/>
      <c r="H1148" s="59"/>
    </row>
    <row r="1149" spans="3:8" ht="16.5" x14ac:dyDescent="0.25">
      <c r="C1149" s="56"/>
      <c r="D1149" s="60"/>
      <c r="E1149" s="122"/>
      <c r="F1149" s="59"/>
      <c r="G1149" s="59"/>
      <c r="H1149" s="59"/>
    </row>
    <row r="1150" spans="3:8" ht="16.5" x14ac:dyDescent="0.25">
      <c r="C1150" s="56"/>
      <c r="D1150" s="60"/>
      <c r="E1150" s="122"/>
      <c r="F1150" s="59"/>
      <c r="G1150" s="59"/>
      <c r="H1150" s="59"/>
    </row>
    <row r="1151" spans="3:8" ht="16.5" x14ac:dyDescent="0.25">
      <c r="C1151" s="56"/>
      <c r="D1151" s="60"/>
      <c r="E1151" s="122"/>
      <c r="F1151" s="59"/>
      <c r="G1151" s="59"/>
      <c r="H1151" s="59"/>
    </row>
    <row r="1152" spans="3:8" ht="16.5" x14ac:dyDescent="0.25">
      <c r="C1152" s="56"/>
      <c r="D1152" s="60"/>
      <c r="E1152" s="122"/>
      <c r="F1152" s="59"/>
      <c r="G1152" s="59"/>
      <c r="H1152" s="59"/>
    </row>
    <row r="1153" spans="3:8" ht="16.5" x14ac:dyDescent="0.25">
      <c r="C1153" s="56"/>
      <c r="D1153" s="60"/>
      <c r="E1153" s="122"/>
      <c r="F1153" s="59"/>
      <c r="G1153" s="59"/>
      <c r="H1153" s="59"/>
    </row>
    <row r="1154" spans="3:8" ht="16.5" x14ac:dyDescent="0.25">
      <c r="C1154" s="56"/>
      <c r="D1154" s="60"/>
      <c r="E1154" s="122"/>
      <c r="F1154" s="59"/>
      <c r="G1154" s="59"/>
      <c r="H1154" s="59"/>
    </row>
    <row r="1155" spans="3:8" ht="16.5" x14ac:dyDescent="0.25">
      <c r="C1155" s="56"/>
      <c r="D1155" s="60"/>
      <c r="E1155" s="122"/>
      <c r="F1155" s="59"/>
      <c r="G1155" s="59"/>
      <c r="H1155" s="59"/>
    </row>
    <row r="1156" spans="3:8" x14ac:dyDescent="0.25">
      <c r="C1156" s="56"/>
      <c r="D1156" s="60"/>
      <c r="E1156" s="149"/>
      <c r="F1156" s="59"/>
      <c r="G1156" s="59"/>
      <c r="H1156" s="59"/>
    </row>
    <row r="1157" spans="3:8" ht="16.5" x14ac:dyDescent="0.25">
      <c r="C1157" s="56"/>
      <c r="D1157" s="60"/>
      <c r="E1157" s="122"/>
      <c r="F1157" s="59"/>
      <c r="G1157" s="59"/>
      <c r="H1157" s="59"/>
    </row>
    <row r="1158" spans="3:8" ht="16.5" x14ac:dyDescent="0.25">
      <c r="C1158" s="56"/>
      <c r="D1158" s="60"/>
      <c r="E1158" s="122"/>
      <c r="F1158" s="59"/>
      <c r="G1158" s="59"/>
      <c r="H1158" s="59"/>
    </row>
    <row r="1159" spans="3:8" ht="16.5" x14ac:dyDescent="0.25">
      <c r="C1159" s="56"/>
      <c r="D1159" s="60"/>
      <c r="E1159" s="122"/>
      <c r="F1159" s="59"/>
      <c r="G1159" s="59"/>
      <c r="H1159" s="59"/>
    </row>
    <row r="1160" spans="3:8" ht="16.5" x14ac:dyDescent="0.25">
      <c r="C1160" s="56"/>
      <c r="D1160" s="60"/>
      <c r="E1160" s="122"/>
      <c r="F1160" s="59"/>
      <c r="G1160" s="59"/>
      <c r="H1160" s="59"/>
    </row>
    <row r="1161" spans="3:8" ht="16.5" x14ac:dyDescent="0.25">
      <c r="C1161" s="56"/>
      <c r="D1161" s="60"/>
      <c r="E1161" s="122"/>
      <c r="F1161" s="59"/>
      <c r="G1161" s="59"/>
      <c r="H1161" s="59"/>
    </row>
    <row r="1162" spans="3:8" ht="16.5" x14ac:dyDescent="0.25">
      <c r="C1162" s="56"/>
      <c r="D1162" s="60"/>
      <c r="E1162" s="122"/>
      <c r="F1162" s="59"/>
      <c r="G1162" s="59"/>
      <c r="H1162" s="59"/>
    </row>
    <row r="1163" spans="3:8" ht="16.5" x14ac:dyDescent="0.25">
      <c r="C1163" s="56"/>
      <c r="D1163" s="60"/>
      <c r="E1163" s="122"/>
      <c r="F1163" s="59"/>
      <c r="G1163" s="59"/>
      <c r="H1163" s="59"/>
    </row>
    <row r="1164" spans="3:8" ht="16.5" x14ac:dyDescent="0.25">
      <c r="C1164" s="56"/>
      <c r="D1164" s="60"/>
      <c r="E1164" s="122"/>
      <c r="F1164" s="59"/>
      <c r="G1164" s="59"/>
      <c r="H1164" s="59"/>
    </row>
    <row r="1165" spans="3:8" ht="16.5" x14ac:dyDescent="0.25">
      <c r="C1165" s="56"/>
      <c r="D1165" s="60"/>
      <c r="E1165" s="122"/>
      <c r="F1165" s="59"/>
      <c r="G1165" s="59"/>
      <c r="H1165" s="59"/>
    </row>
    <row r="1166" spans="3:8" ht="16.5" x14ac:dyDescent="0.25">
      <c r="C1166" s="56"/>
      <c r="D1166" s="60"/>
      <c r="E1166" s="122"/>
      <c r="F1166" s="59"/>
      <c r="G1166" s="59"/>
      <c r="H1166" s="59"/>
    </row>
    <row r="1167" spans="3:8" ht="16.5" x14ac:dyDescent="0.25">
      <c r="C1167" s="56"/>
      <c r="D1167" s="60"/>
      <c r="E1167" s="122"/>
      <c r="F1167" s="59"/>
      <c r="G1167" s="59"/>
      <c r="H1167" s="59"/>
    </row>
    <row r="1168" spans="3:8" ht="16.5" x14ac:dyDescent="0.25">
      <c r="C1168" s="56"/>
      <c r="D1168" s="60"/>
      <c r="E1168" s="122"/>
      <c r="F1168" s="59"/>
      <c r="G1168" s="59"/>
      <c r="H1168" s="59"/>
    </row>
    <row r="1169" spans="3:8" ht="16.5" x14ac:dyDescent="0.25">
      <c r="C1169" s="56"/>
      <c r="D1169" s="60"/>
      <c r="E1169" s="122"/>
      <c r="F1169" s="59"/>
      <c r="G1169" s="59"/>
      <c r="H1169" s="59"/>
    </row>
    <row r="1170" spans="3:8" ht="16.5" x14ac:dyDescent="0.25">
      <c r="C1170" s="56"/>
      <c r="D1170" s="60"/>
      <c r="E1170" s="122"/>
      <c r="F1170" s="59"/>
      <c r="G1170" s="59"/>
      <c r="H1170" s="59"/>
    </row>
    <row r="1171" spans="3:8" ht="16.5" x14ac:dyDescent="0.25">
      <c r="C1171" s="56"/>
      <c r="D1171" s="60"/>
      <c r="E1171" s="122"/>
      <c r="F1171" s="59"/>
      <c r="G1171" s="59"/>
      <c r="H1171" s="59"/>
    </row>
    <row r="1172" spans="3:8" ht="16.5" x14ac:dyDescent="0.25">
      <c r="C1172" s="56"/>
      <c r="D1172" s="60"/>
      <c r="E1172" s="122"/>
      <c r="F1172" s="59"/>
      <c r="G1172" s="59"/>
      <c r="H1172" s="59"/>
    </row>
    <row r="1173" spans="3:8" ht="16.5" x14ac:dyDescent="0.25">
      <c r="C1173" s="56"/>
      <c r="D1173" s="60"/>
      <c r="E1173" s="122"/>
      <c r="F1173" s="59"/>
      <c r="G1173" s="59"/>
      <c r="H1173" s="59"/>
    </row>
    <row r="1174" spans="3:8" ht="16.5" x14ac:dyDescent="0.25">
      <c r="C1174" s="56"/>
      <c r="D1174" s="60"/>
      <c r="E1174" s="122"/>
      <c r="F1174" s="59"/>
      <c r="G1174" s="59"/>
      <c r="H1174" s="59"/>
    </row>
    <row r="1175" spans="3:8" ht="16.5" x14ac:dyDescent="0.25">
      <c r="C1175" s="56"/>
      <c r="D1175" s="60"/>
      <c r="E1175" s="122"/>
      <c r="F1175" s="59"/>
      <c r="G1175" s="59"/>
      <c r="H1175" s="59"/>
    </row>
    <row r="1176" spans="3:8" ht="16.5" x14ac:dyDescent="0.25">
      <c r="C1176" s="56"/>
      <c r="D1176" s="60"/>
      <c r="E1176" s="122"/>
      <c r="F1176" s="59"/>
      <c r="G1176" s="59"/>
      <c r="H1176" s="59"/>
    </row>
    <row r="1177" spans="3:8" ht="16.5" x14ac:dyDescent="0.25">
      <c r="C1177" s="56"/>
      <c r="D1177" s="60"/>
      <c r="E1177" s="122"/>
      <c r="F1177" s="59"/>
      <c r="G1177" s="59"/>
      <c r="H1177" s="59"/>
    </row>
    <row r="1178" spans="3:8" ht="16.5" x14ac:dyDescent="0.25">
      <c r="C1178" s="56"/>
      <c r="D1178" s="60"/>
      <c r="E1178" s="122"/>
      <c r="F1178" s="59"/>
      <c r="G1178" s="59"/>
      <c r="H1178" s="59"/>
    </row>
    <row r="1179" spans="3:8" ht="16.5" x14ac:dyDescent="0.25">
      <c r="C1179" s="56"/>
      <c r="D1179" s="60"/>
      <c r="E1179" s="122"/>
      <c r="F1179" s="59"/>
      <c r="G1179" s="59"/>
      <c r="H1179" s="59"/>
    </row>
    <row r="1180" spans="3:8" ht="16.5" x14ac:dyDescent="0.25">
      <c r="C1180" s="56"/>
      <c r="D1180" s="60"/>
      <c r="E1180" s="122"/>
      <c r="F1180" s="59"/>
      <c r="G1180" s="59"/>
      <c r="H1180" s="59"/>
    </row>
    <row r="1181" spans="3:8" ht="16.5" x14ac:dyDescent="0.25">
      <c r="C1181" s="56"/>
      <c r="D1181" s="60"/>
      <c r="E1181" s="122"/>
      <c r="F1181" s="59"/>
      <c r="G1181" s="59"/>
      <c r="H1181" s="59"/>
    </row>
    <row r="1182" spans="3:8" ht="16.5" x14ac:dyDescent="0.25">
      <c r="C1182" s="56"/>
      <c r="D1182" s="60"/>
      <c r="E1182" s="122"/>
      <c r="F1182" s="59"/>
      <c r="G1182" s="59"/>
      <c r="H1182" s="59"/>
    </row>
    <row r="1183" spans="3:8" ht="16.5" x14ac:dyDescent="0.25">
      <c r="C1183" s="56"/>
      <c r="D1183" s="60"/>
      <c r="E1183" s="122"/>
      <c r="F1183" s="59"/>
      <c r="G1183" s="59"/>
      <c r="H1183" s="59"/>
    </row>
    <row r="1184" spans="3:8" ht="16.5" x14ac:dyDescent="0.25">
      <c r="C1184" s="56"/>
      <c r="D1184" s="60"/>
      <c r="E1184" s="122"/>
      <c r="F1184" s="59"/>
      <c r="G1184" s="59"/>
      <c r="H1184" s="59"/>
    </row>
    <row r="1185" spans="3:8" ht="16.5" x14ac:dyDescent="0.25">
      <c r="C1185" s="56"/>
      <c r="D1185" s="60"/>
      <c r="E1185" s="122"/>
      <c r="F1185" s="59"/>
      <c r="G1185" s="59"/>
      <c r="H1185" s="59"/>
    </row>
    <row r="1186" spans="3:8" ht="16.5" x14ac:dyDescent="0.25">
      <c r="C1186" s="56"/>
      <c r="D1186" s="60"/>
      <c r="E1186" s="122"/>
      <c r="F1186" s="59"/>
      <c r="G1186" s="59"/>
      <c r="H1186" s="59"/>
    </row>
    <row r="1187" spans="3:8" ht="16.5" x14ac:dyDescent="0.25">
      <c r="C1187" s="56"/>
      <c r="D1187" s="60"/>
      <c r="E1187" s="122"/>
      <c r="F1187" s="59"/>
      <c r="G1187" s="59"/>
      <c r="H1187" s="59"/>
    </row>
    <row r="1188" spans="3:8" ht="16.5" x14ac:dyDescent="0.25">
      <c r="C1188" s="56"/>
      <c r="D1188" s="60"/>
      <c r="E1188" s="122"/>
      <c r="F1188" s="59"/>
      <c r="G1188" s="59"/>
      <c r="H1188" s="59"/>
    </row>
    <row r="1189" spans="3:8" ht="16.5" x14ac:dyDescent="0.25">
      <c r="C1189" s="56"/>
      <c r="D1189" s="60"/>
      <c r="E1189" s="122"/>
      <c r="F1189" s="59"/>
      <c r="G1189" s="59"/>
      <c r="H1189" s="59"/>
    </row>
    <row r="1190" spans="3:8" ht="16.5" x14ac:dyDescent="0.25">
      <c r="C1190" s="56"/>
      <c r="D1190" s="60"/>
      <c r="E1190" s="122"/>
      <c r="F1190" s="59"/>
      <c r="G1190" s="59"/>
      <c r="H1190" s="59"/>
    </row>
    <row r="1191" spans="3:8" ht="16.5" x14ac:dyDescent="0.25">
      <c r="C1191" s="56"/>
      <c r="D1191" s="60"/>
      <c r="E1191" s="122"/>
      <c r="F1191" s="59"/>
      <c r="G1191" s="59"/>
      <c r="H1191" s="59"/>
    </row>
    <row r="1192" spans="3:8" ht="16.5" x14ac:dyDescent="0.25">
      <c r="C1192" s="56"/>
      <c r="D1192" s="60"/>
      <c r="E1192" s="122"/>
      <c r="F1192" s="59"/>
      <c r="G1192" s="59"/>
      <c r="H1192" s="59"/>
    </row>
    <row r="1193" spans="3:8" ht="16.5" x14ac:dyDescent="0.25">
      <c r="C1193" s="56"/>
      <c r="D1193" s="60"/>
      <c r="E1193" s="122"/>
      <c r="F1193" s="59"/>
      <c r="G1193" s="59"/>
      <c r="H1193" s="59"/>
    </row>
    <row r="1194" spans="3:8" ht="16.5" x14ac:dyDescent="0.25">
      <c r="C1194" s="56"/>
      <c r="D1194" s="60"/>
      <c r="E1194" s="122"/>
      <c r="F1194" s="59"/>
      <c r="G1194" s="59"/>
      <c r="H1194" s="59"/>
    </row>
    <row r="1195" spans="3:8" ht="16.5" x14ac:dyDescent="0.25">
      <c r="C1195" s="56"/>
      <c r="D1195" s="60"/>
      <c r="E1195" s="122"/>
      <c r="F1195" s="59"/>
      <c r="G1195" s="59"/>
      <c r="H1195" s="59"/>
    </row>
    <row r="1196" spans="3:8" ht="16.5" x14ac:dyDescent="0.25">
      <c r="C1196" s="56"/>
      <c r="D1196" s="60"/>
      <c r="E1196" s="122"/>
      <c r="F1196" s="59"/>
      <c r="G1196" s="59"/>
      <c r="H1196" s="59"/>
    </row>
    <row r="1197" spans="3:8" ht="16.5" x14ac:dyDescent="0.25">
      <c r="C1197" s="56"/>
      <c r="D1197" s="60"/>
      <c r="E1197" s="122"/>
      <c r="F1197" s="59"/>
      <c r="G1197" s="59"/>
      <c r="H1197" s="59"/>
    </row>
    <row r="1198" spans="3:8" ht="16.5" x14ac:dyDescent="0.25">
      <c r="C1198" s="56"/>
      <c r="D1198" s="60"/>
      <c r="E1198" s="122"/>
      <c r="F1198" s="59"/>
      <c r="G1198" s="59"/>
      <c r="H1198" s="59"/>
    </row>
    <row r="1199" spans="3:8" ht="16.5" x14ac:dyDescent="0.25">
      <c r="C1199" s="56"/>
      <c r="D1199" s="60"/>
      <c r="E1199" s="122"/>
      <c r="F1199" s="59"/>
      <c r="G1199" s="59"/>
      <c r="H1199" s="59"/>
    </row>
    <row r="1200" spans="3:8" ht="16.5" x14ac:dyDescent="0.25">
      <c r="C1200" s="56"/>
      <c r="D1200" s="60"/>
      <c r="E1200" s="122"/>
      <c r="F1200" s="59"/>
      <c r="G1200" s="59"/>
      <c r="H1200" s="59"/>
    </row>
    <row r="1201" spans="3:8" ht="16.5" x14ac:dyDescent="0.25">
      <c r="C1201" s="56"/>
      <c r="D1201" s="60"/>
      <c r="E1201" s="122"/>
      <c r="F1201" s="59"/>
      <c r="G1201" s="59"/>
      <c r="H1201" s="59"/>
    </row>
    <row r="1202" spans="3:8" ht="16.5" x14ac:dyDescent="0.25">
      <c r="C1202" s="56"/>
      <c r="D1202" s="60"/>
      <c r="E1202" s="122"/>
      <c r="F1202" s="59"/>
      <c r="G1202" s="59"/>
      <c r="H1202" s="59"/>
    </row>
    <row r="1203" spans="3:8" ht="16.5" x14ac:dyDescent="0.25">
      <c r="C1203" s="56"/>
      <c r="D1203" s="60"/>
      <c r="E1203" s="122"/>
      <c r="F1203" s="59"/>
      <c r="G1203" s="59"/>
      <c r="H1203" s="59"/>
    </row>
    <row r="1204" spans="3:8" ht="15.75" x14ac:dyDescent="0.25">
      <c r="C1204" s="56"/>
      <c r="D1204" s="60"/>
      <c r="E1204" s="119"/>
      <c r="F1204" s="59"/>
      <c r="G1204" s="59"/>
      <c r="H1204" s="59"/>
    </row>
    <row r="1205" spans="3:8" ht="15.75" x14ac:dyDescent="0.25">
      <c r="C1205" s="56"/>
      <c r="D1205" s="60"/>
      <c r="E1205" s="119"/>
      <c r="F1205" s="59"/>
      <c r="G1205" s="59"/>
      <c r="H1205" s="59"/>
    </row>
    <row r="1206" spans="3:8" ht="15.75" x14ac:dyDescent="0.25">
      <c r="C1206" s="56"/>
      <c r="D1206" s="60"/>
      <c r="E1206" s="119"/>
      <c r="F1206" s="59"/>
      <c r="G1206" s="59"/>
      <c r="H1206" s="59"/>
    </row>
    <row r="1207" spans="3:8" ht="15.75" x14ac:dyDescent="0.25">
      <c r="C1207" s="56"/>
      <c r="D1207" s="60"/>
      <c r="E1207" s="119"/>
      <c r="F1207" s="59"/>
      <c r="G1207" s="59"/>
      <c r="H1207" s="59"/>
    </row>
    <row r="1208" spans="3:8" ht="15.75" x14ac:dyDescent="0.25">
      <c r="C1208" s="56"/>
      <c r="D1208" s="60"/>
      <c r="E1208" s="119"/>
      <c r="F1208" s="59"/>
      <c r="G1208" s="59"/>
      <c r="H1208" s="59"/>
    </row>
    <row r="1209" spans="3:8" ht="15.75" x14ac:dyDescent="0.25">
      <c r="C1209" s="56"/>
      <c r="D1209" s="60"/>
      <c r="E1209" s="119"/>
      <c r="F1209" s="59"/>
      <c r="G1209" s="59"/>
      <c r="H1209" s="59"/>
    </row>
    <row r="1210" spans="3:8" ht="15.75" x14ac:dyDescent="0.25">
      <c r="C1210" s="56"/>
      <c r="D1210" s="60"/>
      <c r="E1210" s="119"/>
      <c r="F1210" s="59"/>
      <c r="G1210" s="59"/>
      <c r="H1210" s="59"/>
    </row>
    <row r="1211" spans="3:8" ht="15.75" x14ac:dyDescent="0.25">
      <c r="C1211" s="56"/>
      <c r="D1211" s="60"/>
      <c r="E1211" s="119"/>
      <c r="F1211" s="59"/>
      <c r="G1211" s="59"/>
      <c r="H1211" s="59"/>
    </row>
    <row r="1212" spans="3:8" ht="15.75" x14ac:dyDescent="0.25">
      <c r="C1212" s="56"/>
      <c r="D1212" s="60"/>
      <c r="E1212" s="119"/>
      <c r="F1212" s="59"/>
      <c r="G1212" s="59"/>
      <c r="H1212" s="59"/>
    </row>
    <row r="1213" spans="3:8" ht="15.75" x14ac:dyDescent="0.25">
      <c r="C1213" s="56"/>
      <c r="D1213" s="60"/>
      <c r="E1213" s="119"/>
      <c r="F1213" s="59"/>
      <c r="G1213" s="59"/>
      <c r="H1213" s="59"/>
    </row>
    <row r="1214" spans="3:8" ht="15.75" x14ac:dyDescent="0.25">
      <c r="C1214" s="56"/>
      <c r="D1214" s="60"/>
      <c r="E1214" s="119"/>
      <c r="F1214" s="59"/>
      <c r="G1214" s="59"/>
      <c r="H1214" s="59"/>
    </row>
    <row r="1215" spans="3:8" ht="15.75" x14ac:dyDescent="0.25">
      <c r="C1215" s="56"/>
      <c r="D1215" s="60"/>
      <c r="E1215" s="119"/>
      <c r="F1215" s="59"/>
      <c r="G1215" s="59"/>
      <c r="H1215" s="59"/>
    </row>
    <row r="1216" spans="3:8" ht="15.75" x14ac:dyDescent="0.25">
      <c r="C1216" s="56"/>
      <c r="D1216" s="60"/>
      <c r="E1216" s="119"/>
      <c r="F1216" s="59"/>
      <c r="G1216" s="59"/>
      <c r="H1216" s="59"/>
    </row>
    <row r="1217" spans="3:8" ht="15.75" x14ac:dyDescent="0.25">
      <c r="C1217" s="56"/>
      <c r="D1217" s="60"/>
      <c r="E1217" s="119"/>
      <c r="F1217" s="59"/>
      <c r="G1217" s="59"/>
      <c r="H1217" s="59"/>
    </row>
    <row r="1218" spans="3:8" ht="15.75" x14ac:dyDescent="0.25">
      <c r="C1218" s="56"/>
      <c r="D1218" s="60"/>
      <c r="E1218" s="119"/>
      <c r="F1218" s="59"/>
      <c r="G1218" s="59"/>
      <c r="H1218" s="59"/>
    </row>
    <row r="1219" spans="3:8" ht="15.75" x14ac:dyDescent="0.25">
      <c r="C1219" s="56"/>
      <c r="D1219" s="60"/>
      <c r="E1219" s="119"/>
      <c r="F1219" s="59"/>
      <c r="G1219" s="59"/>
      <c r="H1219" s="59"/>
    </row>
    <row r="1220" spans="3:8" ht="15.75" x14ac:dyDescent="0.25">
      <c r="C1220" s="56"/>
      <c r="D1220" s="60"/>
      <c r="E1220" s="119"/>
      <c r="F1220" s="59"/>
      <c r="G1220" s="59"/>
      <c r="H1220" s="59"/>
    </row>
    <row r="1221" spans="3:8" ht="15.75" x14ac:dyDescent="0.25">
      <c r="C1221" s="56"/>
      <c r="D1221" s="60"/>
      <c r="E1221" s="119"/>
      <c r="F1221" s="59"/>
      <c r="G1221" s="59"/>
      <c r="H1221" s="59"/>
    </row>
    <row r="1222" spans="3:8" ht="15.75" x14ac:dyDescent="0.25">
      <c r="C1222" s="56"/>
      <c r="D1222" s="60"/>
      <c r="E1222" s="119"/>
      <c r="F1222" s="59"/>
      <c r="G1222" s="59"/>
      <c r="H1222" s="59"/>
    </row>
    <row r="1223" spans="3:8" ht="15.75" x14ac:dyDescent="0.25">
      <c r="C1223" s="56"/>
      <c r="D1223" s="60"/>
      <c r="E1223" s="119"/>
      <c r="F1223" s="59"/>
      <c r="G1223" s="59"/>
      <c r="H1223" s="59"/>
    </row>
    <row r="1224" spans="3:8" ht="15.75" x14ac:dyDescent="0.25">
      <c r="C1224" s="56"/>
      <c r="D1224" s="60"/>
      <c r="E1224" s="119"/>
      <c r="F1224" s="59"/>
      <c r="G1224" s="59"/>
      <c r="H1224" s="59"/>
    </row>
    <row r="1225" spans="3:8" ht="15.75" x14ac:dyDescent="0.25">
      <c r="C1225" s="56"/>
      <c r="D1225" s="60"/>
      <c r="E1225" s="119"/>
      <c r="F1225" s="59"/>
      <c r="G1225" s="59"/>
      <c r="H1225" s="59"/>
    </row>
    <row r="1226" spans="3:8" ht="15.75" x14ac:dyDescent="0.25">
      <c r="C1226" s="56"/>
      <c r="D1226" s="60"/>
      <c r="E1226" s="119"/>
      <c r="F1226" s="59"/>
      <c r="G1226" s="59"/>
      <c r="H1226" s="59"/>
    </row>
    <row r="1227" spans="3:8" ht="15.75" x14ac:dyDescent="0.25">
      <c r="C1227" s="56"/>
      <c r="D1227" s="60"/>
      <c r="E1227" s="119"/>
      <c r="F1227" s="59"/>
      <c r="G1227" s="59"/>
      <c r="H1227" s="59"/>
    </row>
    <row r="1228" spans="3:8" ht="15.75" x14ac:dyDescent="0.25">
      <c r="C1228" s="56"/>
      <c r="D1228" s="60"/>
      <c r="E1228" s="119"/>
      <c r="F1228" s="59"/>
      <c r="G1228" s="59"/>
      <c r="H1228" s="59"/>
    </row>
    <row r="1229" spans="3:8" ht="15.75" x14ac:dyDescent="0.25">
      <c r="C1229" s="56"/>
      <c r="D1229" s="60"/>
      <c r="E1229" s="119"/>
      <c r="F1229" s="59"/>
      <c r="G1229" s="59"/>
      <c r="H1229" s="59"/>
    </row>
    <row r="1230" spans="3:8" ht="15.75" x14ac:dyDescent="0.25">
      <c r="C1230" s="56"/>
      <c r="D1230" s="60"/>
      <c r="E1230" s="119"/>
      <c r="F1230" s="59"/>
      <c r="G1230" s="59"/>
      <c r="H1230" s="59"/>
    </row>
    <row r="1231" spans="3:8" ht="15.75" x14ac:dyDescent="0.25">
      <c r="C1231" s="56"/>
      <c r="D1231" s="60"/>
      <c r="E1231" s="119"/>
      <c r="F1231" s="59"/>
      <c r="G1231" s="59"/>
      <c r="H1231" s="59"/>
    </row>
    <row r="1232" spans="3:8" ht="15.75" x14ac:dyDescent="0.25">
      <c r="C1232" s="56"/>
      <c r="D1232" s="60"/>
      <c r="E1232" s="119"/>
      <c r="F1232" s="59"/>
      <c r="G1232" s="59"/>
      <c r="H1232" s="59"/>
    </row>
    <row r="1233" spans="3:8" ht="15.75" x14ac:dyDescent="0.25">
      <c r="C1233" s="56"/>
      <c r="D1233" s="60"/>
      <c r="E1233" s="119"/>
      <c r="F1233" s="59"/>
      <c r="G1233" s="59"/>
      <c r="H1233" s="59"/>
    </row>
    <row r="1234" spans="3:8" ht="15.75" x14ac:dyDescent="0.25">
      <c r="C1234" s="56"/>
      <c r="D1234" s="60"/>
      <c r="E1234" s="119"/>
      <c r="F1234" s="59"/>
      <c r="G1234" s="59"/>
      <c r="H1234" s="59"/>
    </row>
    <row r="1235" spans="3:8" ht="15.75" x14ac:dyDescent="0.25">
      <c r="C1235" s="56"/>
      <c r="D1235" s="60"/>
      <c r="E1235" s="119"/>
      <c r="F1235" s="59"/>
      <c r="G1235" s="59"/>
      <c r="H1235" s="59"/>
    </row>
    <row r="1236" spans="3:8" ht="15.75" x14ac:dyDescent="0.25">
      <c r="C1236" s="56"/>
      <c r="D1236" s="60"/>
      <c r="E1236" s="119"/>
      <c r="F1236" s="59"/>
      <c r="G1236" s="59"/>
      <c r="H1236" s="59"/>
    </row>
    <row r="1237" spans="3:8" ht="15.75" x14ac:dyDescent="0.25">
      <c r="C1237" s="56"/>
      <c r="D1237" s="60"/>
      <c r="E1237" s="119"/>
      <c r="F1237" s="59"/>
      <c r="G1237" s="59"/>
      <c r="H1237" s="59"/>
    </row>
    <row r="1238" spans="3:8" ht="15.75" x14ac:dyDescent="0.25">
      <c r="C1238" s="56"/>
      <c r="D1238" s="60"/>
      <c r="E1238" s="119"/>
      <c r="F1238" s="59"/>
      <c r="G1238" s="59"/>
      <c r="H1238" s="59"/>
    </row>
    <row r="1239" spans="3:8" ht="15.75" x14ac:dyDescent="0.25">
      <c r="C1239" s="56"/>
      <c r="D1239" s="60"/>
      <c r="E1239" s="119"/>
      <c r="F1239" s="59"/>
      <c r="G1239" s="59"/>
      <c r="H1239" s="59"/>
    </row>
    <row r="1240" spans="3:8" ht="15.75" x14ac:dyDescent="0.25">
      <c r="C1240" s="56"/>
      <c r="D1240" s="60"/>
      <c r="E1240" s="119"/>
      <c r="F1240" s="59"/>
      <c r="G1240" s="59"/>
      <c r="H1240" s="59"/>
    </row>
    <row r="1241" spans="3:8" ht="15.75" x14ac:dyDescent="0.25">
      <c r="C1241" s="56"/>
      <c r="D1241" s="60"/>
      <c r="E1241" s="119"/>
      <c r="F1241" s="59"/>
      <c r="G1241" s="59"/>
      <c r="H1241" s="59"/>
    </row>
    <row r="1242" spans="3:8" ht="15.75" x14ac:dyDescent="0.25">
      <c r="C1242" s="56"/>
      <c r="D1242" s="60"/>
      <c r="E1242" s="119"/>
      <c r="F1242" s="59"/>
      <c r="G1242" s="59"/>
      <c r="H1242" s="59"/>
    </row>
    <row r="1243" spans="3:8" ht="15.75" x14ac:dyDescent="0.25">
      <c r="C1243" s="56"/>
      <c r="D1243" s="60"/>
      <c r="E1243" s="119"/>
      <c r="F1243" s="59"/>
      <c r="G1243" s="59"/>
      <c r="H1243" s="59"/>
    </row>
    <row r="1244" spans="3:8" ht="15.75" x14ac:dyDescent="0.25">
      <c r="C1244" s="56"/>
      <c r="D1244" s="60"/>
      <c r="E1244" s="119"/>
      <c r="F1244" s="59"/>
      <c r="G1244" s="59"/>
      <c r="H1244" s="59"/>
    </row>
    <row r="1245" spans="3:8" ht="15.75" x14ac:dyDescent="0.25">
      <c r="C1245" s="56"/>
      <c r="D1245" s="60"/>
      <c r="E1245" s="119"/>
      <c r="F1245" s="59"/>
      <c r="G1245" s="59"/>
      <c r="H1245" s="59"/>
    </row>
    <row r="1246" spans="3:8" ht="15.75" x14ac:dyDescent="0.25">
      <c r="C1246" s="56"/>
      <c r="D1246" s="60"/>
      <c r="E1246" s="119"/>
      <c r="F1246" s="59"/>
      <c r="G1246" s="59"/>
      <c r="H1246" s="59"/>
    </row>
    <row r="1247" spans="3:8" ht="15.75" x14ac:dyDescent="0.25">
      <c r="C1247" s="56"/>
      <c r="D1247" s="60"/>
      <c r="E1247" s="119"/>
      <c r="F1247" s="59"/>
      <c r="G1247" s="59"/>
      <c r="H1247" s="59"/>
    </row>
    <row r="1248" spans="3:8" ht="15.75" x14ac:dyDescent="0.25">
      <c r="C1248" s="56"/>
      <c r="D1248" s="60"/>
      <c r="E1248" s="119"/>
      <c r="F1248" s="59"/>
      <c r="G1248" s="59"/>
      <c r="H1248" s="59"/>
    </row>
    <row r="1249" spans="3:8" ht="15.75" x14ac:dyDescent="0.25">
      <c r="C1249" s="56"/>
      <c r="D1249" s="60"/>
      <c r="E1249" s="119"/>
      <c r="F1249" s="59"/>
      <c r="G1249" s="59"/>
      <c r="H1249" s="59"/>
    </row>
    <row r="1250" spans="3:8" ht="15.75" x14ac:dyDescent="0.25">
      <c r="C1250" s="56"/>
      <c r="D1250" s="60"/>
      <c r="E1250" s="119"/>
      <c r="F1250" s="59"/>
      <c r="G1250" s="59"/>
      <c r="H1250" s="59"/>
    </row>
    <row r="1251" spans="3:8" ht="15.75" x14ac:dyDescent="0.25">
      <c r="C1251" s="56"/>
      <c r="D1251" s="60"/>
      <c r="E1251" s="119"/>
      <c r="F1251" s="59"/>
      <c r="G1251" s="59"/>
      <c r="H1251" s="59"/>
    </row>
    <row r="1252" spans="3:8" ht="15.75" x14ac:dyDescent="0.25">
      <c r="C1252" s="56"/>
      <c r="D1252" s="60"/>
      <c r="E1252" s="119"/>
      <c r="F1252" s="59"/>
      <c r="G1252" s="59"/>
      <c r="H1252" s="59"/>
    </row>
    <row r="1253" spans="3:8" ht="15.75" x14ac:dyDescent="0.25">
      <c r="C1253" s="56"/>
      <c r="D1253" s="60"/>
      <c r="E1253" s="119"/>
      <c r="F1253" s="59"/>
      <c r="G1253" s="59"/>
      <c r="H1253" s="59"/>
    </row>
    <row r="1254" spans="3:8" ht="15.75" x14ac:dyDescent="0.25">
      <c r="C1254" s="56"/>
      <c r="D1254" s="60"/>
      <c r="E1254" s="119"/>
      <c r="F1254" s="59"/>
      <c r="G1254" s="59"/>
      <c r="H1254" s="59"/>
    </row>
    <row r="1255" spans="3:8" ht="15.75" x14ac:dyDescent="0.25">
      <c r="C1255" s="56"/>
      <c r="D1255" s="60"/>
      <c r="E1255" s="119"/>
      <c r="F1255" s="59"/>
      <c r="G1255" s="59"/>
      <c r="H1255" s="59"/>
    </row>
    <row r="1256" spans="3:8" ht="15.75" x14ac:dyDescent="0.25">
      <c r="C1256" s="56"/>
      <c r="D1256" s="60"/>
      <c r="E1256" s="119"/>
      <c r="F1256" s="59"/>
      <c r="G1256" s="59"/>
      <c r="H1256" s="59"/>
    </row>
    <row r="1257" spans="3:8" ht="15.75" x14ac:dyDescent="0.25">
      <c r="C1257" s="56"/>
      <c r="D1257" s="60"/>
      <c r="E1257" s="119"/>
      <c r="F1257" s="59"/>
      <c r="G1257" s="59"/>
      <c r="H1257" s="59"/>
    </row>
    <row r="1258" spans="3:8" ht="15.75" x14ac:dyDescent="0.25">
      <c r="C1258" s="56"/>
      <c r="D1258" s="60"/>
      <c r="E1258" s="119"/>
      <c r="F1258" s="59"/>
      <c r="G1258" s="59"/>
      <c r="H1258" s="59"/>
    </row>
    <row r="1259" spans="3:8" ht="15.75" x14ac:dyDescent="0.25">
      <c r="C1259" s="56"/>
      <c r="D1259" s="60"/>
      <c r="E1259" s="119"/>
      <c r="F1259" s="59"/>
      <c r="G1259" s="59"/>
      <c r="H1259" s="59"/>
    </row>
    <row r="1260" spans="3:8" ht="15.75" x14ac:dyDescent="0.25">
      <c r="C1260" s="56"/>
      <c r="D1260" s="60"/>
      <c r="E1260" s="119"/>
      <c r="F1260" s="59"/>
      <c r="G1260" s="59"/>
      <c r="H1260" s="59"/>
    </row>
    <row r="1261" spans="3:8" ht="15.75" x14ac:dyDescent="0.25">
      <c r="C1261" s="56"/>
      <c r="D1261" s="60"/>
      <c r="E1261" s="119"/>
      <c r="F1261" s="59"/>
      <c r="G1261" s="59"/>
      <c r="H1261" s="59"/>
    </row>
    <row r="1262" spans="3:8" ht="15.75" x14ac:dyDescent="0.25">
      <c r="C1262" s="56"/>
      <c r="D1262" s="60"/>
      <c r="E1262" s="119"/>
      <c r="F1262" s="59"/>
      <c r="G1262" s="59"/>
      <c r="H1262" s="59"/>
    </row>
    <row r="1263" spans="3:8" ht="15.75" x14ac:dyDescent="0.25">
      <c r="C1263" s="56"/>
      <c r="D1263" s="60"/>
      <c r="E1263" s="119"/>
      <c r="F1263" s="59"/>
      <c r="G1263" s="59"/>
      <c r="H1263" s="59"/>
    </row>
    <row r="1264" spans="3:8" ht="15.75" x14ac:dyDescent="0.25">
      <c r="C1264" s="56"/>
      <c r="D1264" s="60"/>
      <c r="E1264" s="119"/>
      <c r="F1264" s="59"/>
      <c r="G1264" s="59"/>
      <c r="H1264" s="59"/>
    </row>
    <row r="1265" spans="3:8" ht="15.75" x14ac:dyDescent="0.25">
      <c r="C1265" s="56"/>
      <c r="D1265" s="60"/>
      <c r="E1265" s="119"/>
      <c r="F1265" s="59"/>
      <c r="G1265" s="59"/>
      <c r="H1265" s="59"/>
    </row>
    <row r="1266" spans="3:8" ht="15.75" x14ac:dyDescent="0.25">
      <c r="C1266" s="56"/>
      <c r="D1266" s="60"/>
      <c r="E1266" s="119"/>
      <c r="F1266" s="59"/>
      <c r="G1266" s="59"/>
      <c r="H1266" s="59"/>
    </row>
    <row r="1267" spans="3:8" ht="15.75" x14ac:dyDescent="0.25">
      <c r="C1267" s="56"/>
      <c r="D1267" s="60"/>
      <c r="E1267" s="119"/>
      <c r="F1267" s="59"/>
      <c r="G1267" s="59"/>
      <c r="H1267" s="59"/>
    </row>
    <row r="1268" spans="3:8" ht="15.75" x14ac:dyDescent="0.25">
      <c r="C1268" s="56"/>
      <c r="D1268" s="60"/>
      <c r="E1268" s="119"/>
      <c r="F1268" s="59"/>
      <c r="G1268" s="59"/>
      <c r="H1268" s="59"/>
    </row>
    <row r="1269" spans="3:8" ht="15.75" x14ac:dyDescent="0.25">
      <c r="C1269" s="56"/>
      <c r="D1269" s="60"/>
      <c r="E1269" s="119"/>
      <c r="F1269" s="59"/>
      <c r="G1269" s="59"/>
      <c r="H1269" s="59"/>
    </row>
    <row r="1270" spans="3:8" ht="15.75" x14ac:dyDescent="0.25">
      <c r="C1270" s="56"/>
      <c r="D1270" s="60"/>
      <c r="E1270" s="119"/>
      <c r="F1270" s="59"/>
      <c r="G1270" s="59"/>
      <c r="H1270" s="59"/>
    </row>
    <row r="1271" spans="3:8" ht="15.75" x14ac:dyDescent="0.25">
      <c r="C1271" s="56"/>
      <c r="D1271" s="60"/>
      <c r="E1271" s="119"/>
      <c r="F1271" s="59"/>
      <c r="G1271" s="59"/>
      <c r="H1271" s="59"/>
    </row>
    <row r="1272" spans="3:8" ht="15.75" x14ac:dyDescent="0.25">
      <c r="C1272" s="56"/>
      <c r="D1272" s="60"/>
      <c r="E1272" s="119"/>
      <c r="F1272" s="59"/>
      <c r="G1272" s="59"/>
      <c r="H1272" s="59"/>
    </row>
    <row r="1273" spans="3:8" ht="15.75" x14ac:dyDescent="0.25">
      <c r="C1273" s="56"/>
      <c r="D1273" s="60"/>
      <c r="E1273" s="119"/>
      <c r="F1273" s="59"/>
      <c r="G1273" s="59"/>
      <c r="H1273" s="59"/>
    </row>
    <row r="1274" spans="3:8" ht="15.75" x14ac:dyDescent="0.25">
      <c r="C1274" s="56"/>
      <c r="D1274" s="60"/>
      <c r="E1274" s="119"/>
      <c r="F1274" s="59"/>
      <c r="G1274" s="59"/>
      <c r="H1274" s="59"/>
    </row>
    <row r="1275" spans="3:8" ht="16.5" x14ac:dyDescent="0.25">
      <c r="C1275" s="56"/>
      <c r="D1275" s="60"/>
      <c r="E1275" s="123"/>
      <c r="F1275" s="59"/>
      <c r="G1275" s="59"/>
      <c r="H1275" s="59"/>
    </row>
    <row r="1276" spans="3:8" ht="16.5" x14ac:dyDescent="0.25">
      <c r="C1276" s="56"/>
      <c r="D1276" s="60"/>
      <c r="E1276" s="123"/>
      <c r="F1276" s="59"/>
      <c r="G1276" s="59"/>
      <c r="H1276" s="59"/>
    </row>
    <row r="1277" spans="3:8" ht="16.5" x14ac:dyDescent="0.25">
      <c r="C1277" s="56"/>
      <c r="D1277" s="60"/>
      <c r="E1277" s="123"/>
      <c r="F1277" s="59"/>
      <c r="G1277" s="59"/>
      <c r="H1277" s="59"/>
    </row>
    <row r="1278" spans="3:8" ht="16.5" x14ac:dyDescent="0.25">
      <c r="C1278" s="56"/>
      <c r="D1278" s="60"/>
      <c r="E1278" s="123"/>
      <c r="F1278" s="59"/>
      <c r="G1278" s="59"/>
      <c r="H1278" s="59"/>
    </row>
    <row r="1279" spans="3:8" ht="16.5" x14ac:dyDescent="0.25">
      <c r="C1279" s="56"/>
      <c r="D1279" s="60"/>
      <c r="E1279" s="123"/>
      <c r="F1279" s="59"/>
      <c r="G1279" s="59"/>
      <c r="H1279" s="59"/>
    </row>
    <row r="1280" spans="3:8" ht="16.5" x14ac:dyDescent="0.25">
      <c r="C1280" s="56"/>
      <c r="D1280" s="60"/>
      <c r="E1280" s="123"/>
      <c r="F1280" s="59"/>
      <c r="G1280" s="59"/>
      <c r="H1280" s="59"/>
    </row>
    <row r="1281" spans="3:8" ht="16.5" x14ac:dyDescent="0.25">
      <c r="C1281" s="56"/>
      <c r="D1281" s="60"/>
      <c r="E1281" s="123"/>
      <c r="F1281" s="59"/>
      <c r="G1281" s="59"/>
      <c r="H1281" s="59"/>
    </row>
    <row r="1282" spans="3:8" ht="16.5" x14ac:dyDescent="0.25">
      <c r="C1282" s="56"/>
      <c r="D1282" s="60"/>
      <c r="E1282" s="123"/>
      <c r="F1282" s="59"/>
      <c r="G1282" s="59"/>
      <c r="H1282" s="59"/>
    </row>
    <row r="1283" spans="3:8" ht="16.5" x14ac:dyDescent="0.25">
      <c r="C1283" s="56"/>
      <c r="D1283" s="60"/>
      <c r="E1283" s="123"/>
      <c r="F1283" s="59"/>
      <c r="G1283" s="59"/>
      <c r="H1283" s="59"/>
    </row>
    <row r="1284" spans="3:8" ht="16.5" x14ac:dyDescent="0.25">
      <c r="C1284" s="56"/>
      <c r="D1284" s="60"/>
      <c r="E1284" s="123"/>
      <c r="F1284" s="59"/>
      <c r="G1284" s="59"/>
      <c r="H1284" s="59"/>
    </row>
    <row r="1285" spans="3:8" ht="16.5" x14ac:dyDescent="0.25">
      <c r="C1285" s="56"/>
      <c r="D1285" s="60"/>
      <c r="E1285" s="123"/>
      <c r="F1285" s="59"/>
      <c r="G1285" s="59"/>
      <c r="H1285" s="59"/>
    </row>
    <row r="1286" spans="3:8" ht="16.5" x14ac:dyDescent="0.25">
      <c r="C1286" s="56"/>
      <c r="D1286" s="60"/>
      <c r="E1286" s="123"/>
      <c r="F1286" s="59"/>
      <c r="G1286" s="59"/>
      <c r="H1286" s="59"/>
    </row>
    <row r="1287" spans="3:8" ht="16.5" x14ac:dyDescent="0.25">
      <c r="C1287" s="56"/>
      <c r="D1287" s="60"/>
      <c r="E1287" s="123"/>
      <c r="F1287" s="59"/>
      <c r="G1287" s="59"/>
      <c r="H1287" s="59"/>
    </row>
    <row r="1288" spans="3:8" ht="16.5" x14ac:dyDescent="0.25">
      <c r="C1288" s="56"/>
      <c r="D1288" s="60"/>
      <c r="E1288" s="124"/>
      <c r="F1288" s="59"/>
      <c r="G1288" s="59"/>
      <c r="H1288" s="59"/>
    </row>
    <row r="1289" spans="3:8" ht="16.5" x14ac:dyDescent="0.25">
      <c r="C1289" s="56"/>
      <c r="D1289" s="60"/>
      <c r="E1289" s="123"/>
      <c r="F1289" s="59"/>
      <c r="G1289" s="59"/>
      <c r="H1289" s="59"/>
    </row>
    <row r="1290" spans="3:8" ht="16.5" x14ac:dyDescent="0.25">
      <c r="C1290" s="56"/>
      <c r="D1290" s="60"/>
      <c r="E1290" s="123"/>
      <c r="F1290" s="59"/>
      <c r="G1290" s="59"/>
      <c r="H1290" s="59"/>
    </row>
    <row r="1291" spans="3:8" ht="16.5" x14ac:dyDescent="0.25">
      <c r="C1291" s="56"/>
      <c r="D1291" s="60"/>
      <c r="E1291" s="123"/>
      <c r="F1291" s="59"/>
      <c r="G1291" s="59"/>
      <c r="H1291" s="59"/>
    </row>
    <row r="1292" spans="3:8" ht="16.5" x14ac:dyDescent="0.25">
      <c r="C1292" s="56"/>
      <c r="D1292" s="60"/>
      <c r="E1292" s="123"/>
      <c r="F1292" s="59"/>
      <c r="G1292" s="59"/>
      <c r="H1292" s="59"/>
    </row>
    <row r="1293" spans="3:8" ht="16.5" x14ac:dyDescent="0.25">
      <c r="C1293" s="56"/>
      <c r="D1293" s="60"/>
      <c r="E1293" s="123"/>
      <c r="F1293" s="59"/>
      <c r="G1293" s="59"/>
      <c r="H1293" s="59"/>
    </row>
    <row r="1294" spans="3:8" ht="16.5" x14ac:dyDescent="0.25">
      <c r="C1294" s="56"/>
      <c r="D1294" s="60"/>
      <c r="E1294" s="123"/>
      <c r="F1294" s="59"/>
      <c r="G1294" s="59"/>
      <c r="H1294" s="59"/>
    </row>
    <row r="1295" spans="3:8" ht="16.5" x14ac:dyDescent="0.25">
      <c r="C1295" s="56"/>
      <c r="D1295" s="60"/>
      <c r="E1295" s="123"/>
      <c r="F1295" s="59"/>
      <c r="G1295" s="59"/>
      <c r="H1295" s="59"/>
    </row>
    <row r="1296" spans="3:8" ht="16.5" x14ac:dyDescent="0.25">
      <c r="C1296" s="56"/>
      <c r="D1296" s="60"/>
      <c r="E1296" s="123"/>
      <c r="F1296" s="59"/>
      <c r="G1296" s="59"/>
      <c r="H1296" s="59"/>
    </row>
    <row r="1297" spans="3:8" ht="16.5" x14ac:dyDescent="0.25">
      <c r="C1297" s="56"/>
      <c r="D1297" s="60"/>
      <c r="E1297" s="123"/>
      <c r="F1297" s="59"/>
      <c r="G1297" s="59"/>
      <c r="H1297" s="59"/>
    </row>
    <row r="1298" spans="3:8" ht="16.5" x14ac:dyDescent="0.25">
      <c r="C1298" s="56"/>
      <c r="D1298" s="60"/>
      <c r="E1298" s="123"/>
      <c r="F1298" s="59"/>
      <c r="G1298" s="59"/>
      <c r="H1298" s="59"/>
    </row>
    <row r="1299" spans="3:8" ht="16.5" x14ac:dyDescent="0.25">
      <c r="C1299" s="56"/>
      <c r="D1299" s="60"/>
      <c r="E1299" s="123"/>
      <c r="F1299" s="59"/>
      <c r="G1299" s="59"/>
      <c r="H1299" s="59"/>
    </row>
    <row r="1300" spans="3:8" ht="16.5" x14ac:dyDescent="0.25">
      <c r="C1300" s="56"/>
      <c r="D1300" s="60"/>
      <c r="E1300" s="123"/>
      <c r="F1300" s="59"/>
      <c r="G1300" s="59"/>
      <c r="H1300" s="59"/>
    </row>
    <row r="1301" spans="3:8" ht="16.5" x14ac:dyDescent="0.25">
      <c r="C1301" s="56"/>
      <c r="D1301" s="60"/>
      <c r="E1301" s="123"/>
      <c r="F1301" s="59"/>
      <c r="G1301" s="59"/>
      <c r="H1301" s="59"/>
    </row>
    <row r="1302" spans="3:8" ht="16.5" x14ac:dyDescent="0.25">
      <c r="C1302" s="56"/>
      <c r="D1302" s="60"/>
      <c r="E1302" s="123"/>
      <c r="F1302" s="59"/>
      <c r="G1302" s="59"/>
      <c r="H1302" s="59"/>
    </row>
    <row r="1303" spans="3:8" ht="16.5" x14ac:dyDescent="0.25">
      <c r="C1303" s="56"/>
      <c r="D1303" s="60"/>
      <c r="E1303" s="123"/>
      <c r="F1303" s="59"/>
      <c r="G1303" s="59"/>
      <c r="H1303" s="59"/>
    </row>
    <row r="1304" spans="3:8" ht="16.5" x14ac:dyDescent="0.25">
      <c r="C1304" s="56"/>
      <c r="D1304" s="60"/>
      <c r="E1304" s="123"/>
      <c r="F1304" s="59"/>
      <c r="G1304" s="59"/>
      <c r="H1304" s="59"/>
    </row>
    <row r="1305" spans="3:8" ht="16.5" x14ac:dyDescent="0.25">
      <c r="C1305" s="56"/>
      <c r="D1305" s="60"/>
      <c r="E1305" s="123"/>
      <c r="F1305" s="59"/>
      <c r="G1305" s="59"/>
      <c r="H1305" s="59"/>
    </row>
    <row r="1306" spans="3:8" ht="16.5" x14ac:dyDescent="0.25">
      <c r="C1306" s="56"/>
      <c r="D1306" s="60"/>
      <c r="E1306" s="123"/>
      <c r="F1306" s="59"/>
      <c r="G1306" s="59"/>
      <c r="H1306" s="59"/>
    </row>
    <row r="1307" spans="3:8" ht="16.5" x14ac:dyDescent="0.25">
      <c r="C1307" s="56"/>
      <c r="D1307" s="60"/>
      <c r="E1307" s="123"/>
      <c r="F1307" s="59"/>
      <c r="G1307" s="59"/>
      <c r="H1307" s="59"/>
    </row>
    <row r="1308" spans="3:8" ht="16.5" x14ac:dyDescent="0.25">
      <c r="C1308" s="56"/>
      <c r="D1308" s="60"/>
      <c r="E1308" s="123"/>
      <c r="F1308" s="59"/>
      <c r="G1308" s="59"/>
      <c r="H1308" s="59"/>
    </row>
    <row r="1309" spans="3:8" ht="16.5" x14ac:dyDescent="0.25">
      <c r="C1309" s="56"/>
      <c r="D1309" s="60"/>
      <c r="E1309" s="123"/>
      <c r="F1309" s="59"/>
      <c r="G1309" s="59"/>
      <c r="H1309" s="59"/>
    </row>
    <row r="1310" spans="3:8" ht="16.5" x14ac:dyDescent="0.25">
      <c r="C1310" s="56"/>
      <c r="D1310" s="60"/>
      <c r="E1310" s="123"/>
      <c r="F1310" s="59"/>
      <c r="G1310" s="59"/>
      <c r="H1310" s="59"/>
    </row>
    <row r="1311" spans="3:8" ht="16.5" x14ac:dyDescent="0.25">
      <c r="C1311" s="56"/>
      <c r="D1311" s="60"/>
      <c r="E1311" s="123"/>
      <c r="F1311" s="59"/>
      <c r="G1311" s="59"/>
      <c r="H1311" s="59"/>
    </row>
    <row r="1312" spans="3:8" ht="16.5" x14ac:dyDescent="0.25">
      <c r="C1312" s="56"/>
      <c r="D1312" s="60"/>
      <c r="E1312" s="123"/>
      <c r="F1312" s="59"/>
      <c r="G1312" s="59"/>
      <c r="H1312" s="59"/>
    </row>
    <row r="1313" spans="3:8" ht="16.5" x14ac:dyDescent="0.25">
      <c r="C1313" s="56"/>
      <c r="D1313" s="60"/>
      <c r="E1313" s="123"/>
      <c r="F1313" s="59"/>
      <c r="G1313" s="59"/>
      <c r="H1313" s="59"/>
    </row>
    <row r="1314" spans="3:8" ht="16.5" x14ac:dyDescent="0.25">
      <c r="C1314" s="56"/>
      <c r="D1314" s="60"/>
      <c r="E1314" s="123"/>
      <c r="F1314" s="59"/>
      <c r="G1314" s="59"/>
      <c r="H1314" s="59"/>
    </row>
    <row r="1315" spans="3:8" ht="16.5" x14ac:dyDescent="0.25">
      <c r="C1315" s="56"/>
      <c r="D1315" s="60"/>
      <c r="E1315" s="123"/>
      <c r="F1315" s="59"/>
      <c r="G1315" s="59"/>
      <c r="H1315" s="59"/>
    </row>
    <row r="1316" spans="3:8" ht="16.5" x14ac:dyDescent="0.25">
      <c r="C1316" s="56"/>
      <c r="D1316" s="60"/>
      <c r="E1316" s="125"/>
      <c r="F1316" s="59"/>
      <c r="G1316" s="59"/>
      <c r="H1316" s="59"/>
    </row>
    <row r="1317" spans="3:8" ht="16.5" x14ac:dyDescent="0.25">
      <c r="C1317" s="56"/>
      <c r="D1317" s="60"/>
      <c r="E1317" s="124"/>
      <c r="F1317" s="59"/>
      <c r="G1317" s="59"/>
      <c r="H1317" s="59"/>
    </row>
    <row r="1318" spans="3:8" ht="16.5" x14ac:dyDescent="0.25">
      <c r="C1318" s="56"/>
      <c r="D1318" s="60"/>
      <c r="E1318" s="123"/>
      <c r="F1318" s="59"/>
      <c r="G1318" s="59"/>
      <c r="H1318" s="59"/>
    </row>
    <row r="1319" spans="3:8" ht="16.5" x14ac:dyDescent="0.25">
      <c r="C1319" s="56"/>
      <c r="D1319" s="60"/>
      <c r="E1319" s="123"/>
      <c r="F1319" s="59"/>
      <c r="G1319" s="59"/>
      <c r="H1319" s="59"/>
    </row>
    <row r="1320" spans="3:8" ht="16.5" x14ac:dyDescent="0.25">
      <c r="C1320" s="56"/>
      <c r="D1320" s="60"/>
      <c r="E1320" s="123"/>
      <c r="F1320" s="59"/>
      <c r="G1320" s="59"/>
      <c r="H1320" s="59"/>
    </row>
    <row r="1321" spans="3:8" ht="16.5" x14ac:dyDescent="0.25">
      <c r="C1321" s="56"/>
      <c r="D1321" s="60"/>
      <c r="E1321" s="123"/>
      <c r="F1321" s="59"/>
      <c r="G1321" s="59"/>
      <c r="H1321" s="59"/>
    </row>
    <row r="1322" spans="3:8" ht="16.5" x14ac:dyDescent="0.25">
      <c r="C1322" s="56"/>
      <c r="D1322" s="60"/>
      <c r="E1322" s="123"/>
      <c r="F1322" s="59"/>
      <c r="G1322" s="59"/>
      <c r="H1322" s="59"/>
    </row>
    <row r="1323" spans="3:8" ht="16.5" x14ac:dyDescent="0.25">
      <c r="C1323" s="56"/>
      <c r="D1323" s="60"/>
      <c r="E1323" s="123"/>
      <c r="F1323" s="59"/>
      <c r="G1323" s="59"/>
      <c r="H1323" s="59"/>
    </row>
    <row r="1324" spans="3:8" ht="16.5" x14ac:dyDescent="0.25">
      <c r="C1324" s="56"/>
      <c r="D1324" s="60"/>
      <c r="E1324" s="123"/>
      <c r="F1324" s="59"/>
      <c r="G1324" s="59"/>
      <c r="H1324" s="59"/>
    </row>
    <row r="1325" spans="3:8" ht="16.5" x14ac:dyDescent="0.25">
      <c r="C1325" s="56"/>
      <c r="D1325" s="60"/>
      <c r="E1325" s="123"/>
      <c r="F1325" s="59"/>
      <c r="G1325" s="59"/>
      <c r="H1325" s="59"/>
    </row>
    <row r="1326" spans="3:8" ht="16.5" x14ac:dyDescent="0.25">
      <c r="C1326" s="56"/>
      <c r="D1326" s="60"/>
      <c r="E1326" s="123"/>
      <c r="F1326" s="59"/>
      <c r="G1326" s="59"/>
      <c r="H1326" s="59"/>
    </row>
    <row r="1327" spans="3:8" ht="16.5" x14ac:dyDescent="0.25">
      <c r="C1327" s="56"/>
      <c r="D1327" s="60"/>
      <c r="E1327" s="123"/>
      <c r="F1327" s="59"/>
      <c r="G1327" s="59"/>
      <c r="H1327" s="59"/>
    </row>
    <row r="1328" spans="3:8" ht="16.5" x14ac:dyDescent="0.25">
      <c r="C1328" s="56"/>
      <c r="D1328" s="60"/>
      <c r="E1328" s="123"/>
      <c r="F1328" s="59"/>
      <c r="G1328" s="59"/>
      <c r="H1328" s="59"/>
    </row>
    <row r="1329" spans="3:8" ht="16.5" x14ac:dyDescent="0.25">
      <c r="C1329" s="56"/>
      <c r="D1329" s="60"/>
      <c r="E1329" s="123"/>
      <c r="F1329" s="59"/>
      <c r="G1329" s="59"/>
      <c r="H1329" s="59"/>
    </row>
    <row r="1330" spans="3:8" ht="16.5" x14ac:dyDescent="0.25">
      <c r="C1330" s="56"/>
      <c r="D1330" s="60"/>
      <c r="E1330" s="123"/>
      <c r="F1330" s="59"/>
      <c r="G1330" s="59"/>
      <c r="H1330" s="59"/>
    </row>
    <row r="1331" spans="3:8" ht="16.5" x14ac:dyDescent="0.25">
      <c r="C1331" s="56"/>
      <c r="D1331" s="60"/>
      <c r="E1331" s="123"/>
      <c r="F1331" s="59"/>
      <c r="G1331" s="59"/>
      <c r="H1331" s="59"/>
    </row>
    <row r="1332" spans="3:8" ht="16.5" x14ac:dyDescent="0.25">
      <c r="C1332" s="56"/>
      <c r="D1332" s="60"/>
      <c r="E1332" s="123"/>
      <c r="F1332" s="59"/>
      <c r="G1332" s="59"/>
      <c r="H1332" s="59"/>
    </row>
    <row r="1333" spans="3:8" ht="16.5" x14ac:dyDescent="0.25">
      <c r="C1333" s="56"/>
      <c r="D1333" s="60"/>
      <c r="E1333" s="124"/>
      <c r="F1333" s="59"/>
      <c r="G1333" s="59"/>
      <c r="H1333" s="59"/>
    </row>
    <row r="1334" spans="3:8" ht="16.5" x14ac:dyDescent="0.25">
      <c r="C1334" s="56"/>
      <c r="D1334" s="60"/>
      <c r="E1334" s="123"/>
      <c r="F1334" s="59"/>
      <c r="G1334" s="59"/>
      <c r="H1334" s="59"/>
    </row>
    <row r="1335" spans="3:8" ht="16.5" x14ac:dyDescent="0.25">
      <c r="C1335" s="56"/>
      <c r="D1335" s="60"/>
      <c r="E1335" s="123"/>
      <c r="F1335" s="59"/>
      <c r="G1335" s="59"/>
      <c r="H1335" s="59"/>
    </row>
    <row r="1336" spans="3:8" ht="16.5" x14ac:dyDescent="0.25">
      <c r="C1336" s="56"/>
      <c r="D1336" s="60"/>
      <c r="E1336" s="123"/>
      <c r="F1336" s="59"/>
      <c r="G1336" s="59"/>
      <c r="H1336" s="59"/>
    </row>
    <row r="1337" spans="3:8" ht="16.5" x14ac:dyDescent="0.25">
      <c r="C1337" s="56"/>
      <c r="D1337" s="60"/>
      <c r="E1337" s="124"/>
      <c r="F1337" s="59"/>
      <c r="G1337" s="59"/>
      <c r="H1337" s="59"/>
    </row>
    <row r="1338" spans="3:8" ht="16.5" x14ac:dyDescent="0.25">
      <c r="C1338" s="56"/>
      <c r="D1338" s="60"/>
      <c r="E1338" s="123"/>
      <c r="F1338" s="59"/>
      <c r="G1338" s="59"/>
      <c r="H1338" s="59"/>
    </row>
    <row r="1339" spans="3:8" ht="16.5" x14ac:dyDescent="0.25">
      <c r="C1339" s="56"/>
      <c r="D1339" s="60"/>
      <c r="E1339" s="123"/>
      <c r="F1339" s="59"/>
      <c r="G1339" s="59"/>
      <c r="H1339" s="59"/>
    </row>
    <row r="1340" spans="3:8" ht="16.5" x14ac:dyDescent="0.25">
      <c r="C1340" s="56"/>
      <c r="D1340" s="60"/>
      <c r="E1340" s="123"/>
      <c r="F1340" s="59"/>
      <c r="G1340" s="59"/>
      <c r="H1340" s="59"/>
    </row>
    <row r="1341" spans="3:8" ht="16.5" x14ac:dyDescent="0.25">
      <c r="C1341" s="56"/>
      <c r="D1341" s="60"/>
      <c r="E1341" s="123"/>
      <c r="F1341" s="59"/>
      <c r="G1341" s="59"/>
      <c r="H1341" s="59"/>
    </row>
    <row r="1342" spans="3:8" ht="16.5" x14ac:dyDescent="0.25">
      <c r="C1342" s="56"/>
      <c r="D1342" s="60"/>
      <c r="E1342" s="123"/>
      <c r="F1342" s="59"/>
      <c r="G1342" s="59"/>
      <c r="H1342" s="59"/>
    </row>
    <row r="1343" spans="3:8" ht="16.5" x14ac:dyDescent="0.25">
      <c r="C1343" s="56"/>
      <c r="D1343" s="60"/>
      <c r="E1343" s="123"/>
      <c r="F1343" s="59"/>
      <c r="G1343" s="59"/>
      <c r="H1343" s="59"/>
    </row>
    <row r="1344" spans="3:8" ht="16.5" x14ac:dyDescent="0.25">
      <c r="C1344" s="56"/>
      <c r="D1344" s="60"/>
      <c r="E1344" s="123"/>
      <c r="F1344" s="59"/>
      <c r="G1344" s="59"/>
      <c r="H1344" s="59"/>
    </row>
    <row r="1345" spans="3:8" ht="16.5" x14ac:dyDescent="0.25">
      <c r="C1345" s="56"/>
      <c r="D1345" s="60"/>
      <c r="E1345" s="123"/>
      <c r="F1345" s="59"/>
      <c r="G1345" s="59"/>
      <c r="H1345" s="59"/>
    </row>
    <row r="1346" spans="3:8" ht="16.5" x14ac:dyDescent="0.25">
      <c r="C1346" s="56"/>
      <c r="D1346" s="60"/>
      <c r="E1346" s="122"/>
      <c r="F1346" s="59"/>
      <c r="G1346" s="59"/>
      <c r="H1346" s="59"/>
    </row>
    <row r="1347" spans="3:8" ht="16.5" x14ac:dyDescent="0.25">
      <c r="C1347" s="56"/>
      <c r="D1347" s="60"/>
      <c r="E1347" s="122"/>
      <c r="F1347" s="59"/>
      <c r="G1347" s="59"/>
      <c r="H1347" s="59"/>
    </row>
    <row r="1348" spans="3:8" ht="16.5" x14ac:dyDescent="0.25">
      <c r="C1348" s="56"/>
      <c r="D1348" s="60"/>
      <c r="E1348" s="122"/>
      <c r="F1348" s="59"/>
      <c r="G1348" s="59"/>
      <c r="H1348" s="59"/>
    </row>
    <row r="1349" spans="3:8" ht="16.5" x14ac:dyDescent="0.25">
      <c r="C1349" s="56"/>
      <c r="D1349" s="60"/>
      <c r="E1349" s="122"/>
      <c r="F1349" s="59"/>
      <c r="G1349" s="59"/>
      <c r="H1349" s="59"/>
    </row>
    <row r="1350" spans="3:8" ht="16.5" x14ac:dyDescent="0.25">
      <c r="C1350" s="56"/>
      <c r="D1350" s="60"/>
      <c r="E1350" s="122"/>
      <c r="F1350" s="59"/>
      <c r="G1350" s="59"/>
      <c r="H1350" s="59"/>
    </row>
    <row r="1351" spans="3:8" ht="16.5" x14ac:dyDescent="0.25">
      <c r="C1351" s="56"/>
      <c r="D1351" s="60"/>
      <c r="E1351" s="122"/>
      <c r="F1351" s="59"/>
      <c r="G1351" s="59"/>
      <c r="H1351" s="59"/>
    </row>
    <row r="1352" spans="3:8" ht="16.5" x14ac:dyDescent="0.25">
      <c r="C1352" s="56"/>
      <c r="D1352" s="60"/>
      <c r="E1352" s="122"/>
      <c r="F1352" s="59"/>
      <c r="G1352" s="59"/>
      <c r="H1352" s="59"/>
    </row>
    <row r="1353" spans="3:8" ht="16.5" x14ac:dyDescent="0.25">
      <c r="C1353" s="56"/>
      <c r="D1353" s="60"/>
      <c r="E1353" s="122"/>
      <c r="F1353" s="59"/>
      <c r="G1353" s="59"/>
      <c r="H1353" s="59"/>
    </row>
    <row r="1354" spans="3:8" ht="16.5" x14ac:dyDescent="0.25">
      <c r="C1354" s="56"/>
      <c r="D1354" s="60"/>
      <c r="E1354" s="122"/>
      <c r="F1354" s="59"/>
      <c r="G1354" s="59"/>
      <c r="H1354" s="59"/>
    </row>
    <row r="1355" spans="3:8" ht="16.5" x14ac:dyDescent="0.25">
      <c r="C1355" s="56"/>
      <c r="D1355" s="60"/>
      <c r="E1355" s="122"/>
      <c r="F1355" s="59"/>
      <c r="G1355" s="59"/>
      <c r="H1355" s="59"/>
    </row>
    <row r="1356" spans="3:8" ht="16.5" x14ac:dyDescent="0.25">
      <c r="C1356" s="56"/>
      <c r="D1356" s="60"/>
      <c r="E1356" s="122"/>
      <c r="F1356" s="59"/>
      <c r="G1356" s="59"/>
      <c r="H1356" s="59"/>
    </row>
    <row r="1357" spans="3:8" ht="16.5" x14ac:dyDescent="0.25">
      <c r="C1357" s="56"/>
      <c r="D1357" s="60"/>
      <c r="E1357" s="122"/>
      <c r="F1357" s="59"/>
      <c r="G1357" s="59"/>
      <c r="H1357" s="59"/>
    </row>
    <row r="1358" spans="3:8" ht="16.5" x14ac:dyDescent="0.25">
      <c r="C1358" s="56"/>
      <c r="D1358" s="60"/>
      <c r="E1358" s="122"/>
      <c r="F1358" s="59"/>
      <c r="G1358" s="59"/>
      <c r="H1358" s="59"/>
    </row>
    <row r="1359" spans="3:8" ht="16.5" x14ac:dyDescent="0.25">
      <c r="C1359" s="56"/>
      <c r="D1359" s="60"/>
      <c r="E1359" s="122"/>
      <c r="F1359" s="59"/>
      <c r="G1359" s="59"/>
      <c r="H1359" s="59"/>
    </row>
    <row r="1360" spans="3:8" ht="16.5" x14ac:dyDescent="0.25">
      <c r="C1360" s="56"/>
      <c r="D1360" s="60"/>
      <c r="E1360" s="122"/>
      <c r="F1360" s="59"/>
      <c r="G1360" s="59"/>
      <c r="H1360" s="59"/>
    </row>
    <row r="1361" spans="3:8" ht="16.5" x14ac:dyDescent="0.25">
      <c r="C1361" s="56"/>
      <c r="D1361" s="60"/>
      <c r="E1361" s="122"/>
      <c r="F1361" s="59"/>
      <c r="G1361" s="59"/>
      <c r="H1361" s="59"/>
    </row>
    <row r="1362" spans="3:8" ht="16.5" x14ac:dyDescent="0.25">
      <c r="C1362" s="56"/>
      <c r="D1362" s="60"/>
      <c r="E1362" s="122"/>
      <c r="F1362" s="59"/>
      <c r="G1362" s="59"/>
      <c r="H1362" s="59"/>
    </row>
    <row r="1363" spans="3:8" ht="16.5" x14ac:dyDescent="0.25">
      <c r="C1363" s="56"/>
      <c r="D1363" s="60"/>
      <c r="E1363" s="122"/>
      <c r="F1363" s="59"/>
      <c r="G1363" s="59"/>
      <c r="H1363" s="59"/>
    </row>
    <row r="1364" spans="3:8" ht="16.5" x14ac:dyDescent="0.25">
      <c r="C1364" s="56"/>
      <c r="D1364" s="60"/>
      <c r="E1364" s="122"/>
      <c r="F1364" s="59"/>
      <c r="G1364" s="59"/>
      <c r="H1364" s="59"/>
    </row>
    <row r="1365" spans="3:8" ht="16.5" x14ac:dyDescent="0.25">
      <c r="C1365" s="56"/>
      <c r="D1365" s="60"/>
      <c r="E1365" s="122"/>
      <c r="F1365" s="59"/>
      <c r="G1365" s="59"/>
      <c r="H1365" s="59"/>
    </row>
    <row r="1366" spans="3:8" ht="16.5" x14ac:dyDescent="0.25">
      <c r="C1366" s="56"/>
      <c r="D1366" s="60"/>
      <c r="E1366" s="122"/>
      <c r="F1366" s="59"/>
      <c r="G1366" s="59"/>
      <c r="H1366" s="59"/>
    </row>
    <row r="1367" spans="3:8" ht="16.5" x14ac:dyDescent="0.25">
      <c r="C1367" s="56"/>
      <c r="D1367" s="60"/>
      <c r="E1367" s="122"/>
      <c r="F1367" s="59"/>
      <c r="G1367" s="59"/>
      <c r="H1367" s="59"/>
    </row>
    <row r="1368" spans="3:8" ht="16.5" x14ac:dyDescent="0.25">
      <c r="C1368" s="56"/>
      <c r="D1368" s="60"/>
      <c r="E1368" s="122"/>
      <c r="F1368" s="59"/>
      <c r="G1368" s="59"/>
      <c r="H1368" s="59"/>
    </row>
    <row r="1369" spans="3:8" ht="16.5" x14ac:dyDescent="0.25">
      <c r="C1369" s="56"/>
      <c r="D1369" s="60"/>
      <c r="E1369" s="122"/>
      <c r="F1369" s="59"/>
      <c r="G1369" s="59"/>
      <c r="H1369" s="59"/>
    </row>
    <row r="1370" spans="3:8" ht="16.5" x14ac:dyDescent="0.25">
      <c r="C1370" s="56"/>
      <c r="D1370" s="60"/>
      <c r="E1370" s="122"/>
      <c r="F1370" s="59"/>
      <c r="G1370" s="59"/>
      <c r="H1370" s="59"/>
    </row>
    <row r="1371" spans="3:8" ht="16.5" x14ac:dyDescent="0.25">
      <c r="C1371" s="56"/>
      <c r="D1371" s="60"/>
      <c r="E1371" s="122"/>
      <c r="F1371" s="59"/>
      <c r="G1371" s="59"/>
      <c r="H1371" s="59"/>
    </row>
    <row r="1372" spans="3:8" ht="16.5" x14ac:dyDescent="0.25">
      <c r="C1372" s="56"/>
      <c r="D1372" s="60"/>
      <c r="E1372" s="122"/>
      <c r="F1372" s="59"/>
      <c r="G1372" s="59"/>
      <c r="H1372" s="59"/>
    </row>
    <row r="1373" spans="3:8" ht="16.5" x14ac:dyDescent="0.25">
      <c r="C1373" s="56"/>
      <c r="D1373" s="60"/>
      <c r="E1373" s="122"/>
      <c r="F1373" s="59"/>
      <c r="G1373" s="59"/>
      <c r="H1373" s="59"/>
    </row>
    <row r="1374" spans="3:8" ht="16.5" x14ac:dyDescent="0.25">
      <c r="C1374" s="56"/>
      <c r="D1374" s="60"/>
      <c r="E1374" s="122"/>
      <c r="F1374" s="59"/>
      <c r="G1374" s="59"/>
      <c r="H1374" s="59"/>
    </row>
    <row r="1375" spans="3:8" ht="16.5" x14ac:dyDescent="0.25">
      <c r="C1375" s="56"/>
      <c r="D1375" s="60"/>
      <c r="E1375" s="122"/>
      <c r="F1375" s="59"/>
      <c r="G1375" s="59"/>
      <c r="H1375" s="59"/>
    </row>
    <row r="1376" spans="3:8" ht="16.5" x14ac:dyDescent="0.25">
      <c r="C1376" s="56"/>
      <c r="D1376" s="60"/>
      <c r="E1376" s="122"/>
      <c r="F1376" s="59"/>
      <c r="G1376" s="59"/>
      <c r="H1376" s="59"/>
    </row>
    <row r="1377" spans="3:8" ht="16.5" x14ac:dyDescent="0.25">
      <c r="C1377" s="56"/>
      <c r="D1377" s="60"/>
      <c r="E1377" s="122"/>
      <c r="F1377" s="59"/>
      <c r="G1377" s="59"/>
      <c r="H1377" s="59"/>
    </row>
    <row r="1378" spans="3:8" ht="16.5" x14ac:dyDescent="0.25">
      <c r="C1378" s="56"/>
      <c r="D1378" s="60"/>
      <c r="E1378" s="122"/>
      <c r="F1378" s="59"/>
      <c r="G1378" s="59"/>
      <c r="H1378" s="59"/>
    </row>
    <row r="1379" spans="3:8" ht="16.5" x14ac:dyDescent="0.25">
      <c r="C1379" s="56"/>
      <c r="D1379" s="60"/>
      <c r="E1379" s="122"/>
      <c r="F1379" s="59"/>
      <c r="G1379" s="59"/>
      <c r="H1379" s="59"/>
    </row>
    <row r="1380" spans="3:8" ht="16.5" x14ac:dyDescent="0.25">
      <c r="C1380" s="56"/>
      <c r="D1380" s="60"/>
      <c r="E1380" s="122"/>
      <c r="F1380" s="59"/>
      <c r="G1380" s="59"/>
      <c r="H1380" s="59"/>
    </row>
    <row r="1381" spans="3:8" ht="16.5" x14ac:dyDescent="0.25">
      <c r="C1381" s="56"/>
      <c r="D1381" s="60"/>
      <c r="E1381" s="122"/>
      <c r="F1381" s="59"/>
      <c r="G1381" s="59"/>
      <c r="H1381" s="59"/>
    </row>
    <row r="1382" spans="3:8" ht="16.5" x14ac:dyDescent="0.25">
      <c r="C1382" s="56"/>
      <c r="D1382" s="60"/>
      <c r="E1382" s="122"/>
      <c r="F1382" s="59"/>
      <c r="G1382" s="59"/>
      <c r="H1382" s="59"/>
    </row>
    <row r="1383" spans="3:8" ht="16.5" x14ac:dyDescent="0.25">
      <c r="C1383" s="56"/>
      <c r="D1383" s="60"/>
      <c r="E1383" s="122"/>
      <c r="F1383" s="59"/>
      <c r="G1383" s="59"/>
      <c r="H1383" s="59"/>
    </row>
    <row r="1384" spans="3:8" ht="16.5" x14ac:dyDescent="0.25">
      <c r="C1384" s="56"/>
      <c r="D1384" s="60"/>
      <c r="E1384" s="122"/>
      <c r="F1384" s="59"/>
      <c r="G1384" s="59"/>
      <c r="H1384" s="59"/>
    </row>
    <row r="1385" spans="3:8" ht="16.5" x14ac:dyDescent="0.25">
      <c r="C1385" s="56"/>
      <c r="D1385" s="60"/>
      <c r="E1385" s="122"/>
      <c r="F1385" s="59"/>
      <c r="G1385" s="59"/>
      <c r="H1385" s="59"/>
    </row>
    <row r="1386" spans="3:8" ht="16.5" x14ac:dyDescent="0.25">
      <c r="C1386" s="56"/>
      <c r="D1386" s="60"/>
      <c r="E1386" s="122"/>
      <c r="F1386" s="59"/>
      <c r="G1386" s="59"/>
      <c r="H1386" s="59"/>
    </row>
    <row r="1387" spans="3:8" ht="16.5" x14ac:dyDescent="0.25">
      <c r="C1387" s="56"/>
      <c r="D1387" s="60"/>
      <c r="E1387" s="122"/>
      <c r="F1387" s="59"/>
      <c r="G1387" s="59"/>
      <c r="H1387" s="59"/>
    </row>
    <row r="1388" spans="3:8" ht="16.5" x14ac:dyDescent="0.25">
      <c r="C1388" s="56"/>
      <c r="D1388" s="60"/>
      <c r="E1388" s="122"/>
      <c r="F1388" s="59"/>
      <c r="G1388" s="59"/>
      <c r="H1388" s="59"/>
    </row>
    <row r="1389" spans="3:8" ht="16.5" x14ac:dyDescent="0.25">
      <c r="C1389" s="56"/>
      <c r="D1389" s="60"/>
      <c r="E1389" s="122"/>
      <c r="F1389" s="59"/>
      <c r="G1389" s="59"/>
      <c r="H1389" s="59"/>
    </row>
    <row r="1390" spans="3:8" ht="16.5" x14ac:dyDescent="0.25">
      <c r="C1390" s="56"/>
      <c r="D1390" s="60"/>
      <c r="E1390" s="122"/>
      <c r="F1390" s="59"/>
      <c r="G1390" s="59"/>
      <c r="H1390" s="59"/>
    </row>
    <row r="1391" spans="3:8" ht="16.5" x14ac:dyDescent="0.25">
      <c r="C1391" s="56"/>
      <c r="D1391" s="60"/>
      <c r="E1391" s="122"/>
      <c r="F1391" s="59"/>
      <c r="G1391" s="59"/>
      <c r="H1391" s="59"/>
    </row>
    <row r="1392" spans="3:8" ht="16.5" x14ac:dyDescent="0.25">
      <c r="C1392" s="56"/>
      <c r="D1392" s="60"/>
      <c r="E1392" s="122"/>
      <c r="F1392" s="59"/>
      <c r="G1392" s="59"/>
      <c r="H1392" s="59"/>
    </row>
    <row r="1393" spans="3:8" ht="16.5" x14ac:dyDescent="0.25">
      <c r="C1393" s="56"/>
      <c r="D1393" s="60"/>
      <c r="E1393" s="122"/>
      <c r="F1393" s="59"/>
      <c r="G1393" s="59"/>
      <c r="H1393" s="59"/>
    </row>
    <row r="1394" spans="3:8" ht="16.5" x14ac:dyDescent="0.25">
      <c r="C1394" s="56"/>
      <c r="D1394" s="60"/>
      <c r="E1394" s="122"/>
      <c r="F1394" s="59"/>
      <c r="G1394" s="59"/>
      <c r="H1394" s="59"/>
    </row>
    <row r="1395" spans="3:8" ht="16.5" x14ac:dyDescent="0.25">
      <c r="C1395" s="56"/>
      <c r="D1395" s="60"/>
      <c r="E1395" s="122"/>
      <c r="F1395" s="59"/>
      <c r="G1395" s="59"/>
      <c r="H1395" s="59"/>
    </row>
    <row r="1396" spans="3:8" ht="16.5" x14ac:dyDescent="0.25">
      <c r="C1396" s="56"/>
      <c r="D1396" s="60"/>
      <c r="E1396" s="122"/>
      <c r="F1396" s="59"/>
      <c r="G1396" s="59"/>
      <c r="H1396" s="59"/>
    </row>
    <row r="1397" spans="3:8" ht="16.5" x14ac:dyDescent="0.25">
      <c r="C1397" s="56"/>
      <c r="D1397" s="60"/>
      <c r="E1397" s="122"/>
      <c r="F1397" s="59"/>
      <c r="G1397" s="59"/>
      <c r="H1397" s="59"/>
    </row>
    <row r="1398" spans="3:8" ht="16.5" x14ac:dyDescent="0.25">
      <c r="C1398" s="56"/>
      <c r="D1398" s="60"/>
      <c r="E1398" s="122"/>
      <c r="F1398" s="59"/>
      <c r="G1398" s="59"/>
      <c r="H1398" s="59"/>
    </row>
    <row r="1399" spans="3:8" ht="16.5" x14ac:dyDescent="0.25">
      <c r="C1399" s="56"/>
      <c r="D1399" s="60"/>
      <c r="E1399" s="122"/>
      <c r="F1399" s="59"/>
      <c r="G1399" s="59"/>
      <c r="H1399" s="59"/>
    </row>
    <row r="1400" spans="3:8" ht="16.5" x14ac:dyDescent="0.25">
      <c r="C1400" s="56"/>
      <c r="D1400" s="60"/>
      <c r="E1400" s="122"/>
      <c r="F1400" s="59"/>
      <c r="G1400" s="59"/>
      <c r="H1400" s="59"/>
    </row>
    <row r="1401" spans="3:8" ht="16.5" x14ac:dyDescent="0.25">
      <c r="C1401" s="56"/>
      <c r="D1401" s="60"/>
      <c r="E1401" s="122"/>
      <c r="F1401" s="59"/>
      <c r="G1401" s="59"/>
      <c r="H1401" s="59"/>
    </row>
    <row r="1402" spans="3:8" ht="16.5" x14ac:dyDescent="0.25">
      <c r="C1402" s="56"/>
      <c r="D1402" s="60"/>
      <c r="E1402" s="122"/>
      <c r="F1402" s="59"/>
      <c r="G1402" s="59"/>
      <c r="H1402" s="59"/>
    </row>
    <row r="1403" spans="3:8" ht="16.5" x14ac:dyDescent="0.25">
      <c r="C1403" s="56"/>
      <c r="D1403" s="60"/>
      <c r="E1403" s="122"/>
      <c r="F1403" s="59"/>
      <c r="G1403" s="59"/>
      <c r="H1403" s="59"/>
    </row>
    <row r="1404" spans="3:8" ht="16.5" x14ac:dyDescent="0.25">
      <c r="C1404" s="56"/>
      <c r="D1404" s="60"/>
      <c r="E1404" s="112"/>
      <c r="F1404" s="59"/>
      <c r="G1404" s="59"/>
      <c r="H1404" s="59"/>
    </row>
    <row r="1405" spans="3:8" ht="16.5" x14ac:dyDescent="0.25">
      <c r="C1405" s="56"/>
      <c r="D1405" s="60"/>
      <c r="E1405" s="112"/>
      <c r="F1405" s="59"/>
      <c r="G1405" s="59"/>
      <c r="H1405" s="59"/>
    </row>
    <row r="1406" spans="3:8" ht="16.5" x14ac:dyDescent="0.25">
      <c r="C1406" s="56"/>
      <c r="D1406" s="60"/>
      <c r="E1406" s="112"/>
      <c r="F1406" s="59"/>
      <c r="G1406" s="59"/>
      <c r="H1406" s="59"/>
    </row>
    <row r="1407" spans="3:8" ht="16.5" x14ac:dyDescent="0.25">
      <c r="C1407" s="56"/>
      <c r="D1407" s="60"/>
      <c r="E1407" s="112"/>
      <c r="F1407" s="59"/>
      <c r="G1407" s="59"/>
      <c r="H1407" s="59"/>
    </row>
    <row r="1408" spans="3:8" ht="16.5" x14ac:dyDescent="0.25">
      <c r="C1408" s="56"/>
      <c r="D1408" s="60"/>
      <c r="E1408" s="112"/>
      <c r="F1408" s="59"/>
      <c r="G1408" s="59"/>
      <c r="H1408" s="59"/>
    </row>
    <row r="1409" spans="3:8" ht="16.5" x14ac:dyDescent="0.25">
      <c r="C1409" s="56"/>
      <c r="D1409" s="60"/>
      <c r="E1409" s="112"/>
      <c r="F1409" s="59"/>
      <c r="G1409" s="59"/>
      <c r="H1409" s="59"/>
    </row>
    <row r="1410" spans="3:8" ht="16.5" x14ac:dyDescent="0.25">
      <c r="C1410" s="56"/>
      <c r="D1410" s="60"/>
      <c r="E1410" s="112"/>
      <c r="F1410" s="59"/>
      <c r="G1410" s="59"/>
      <c r="H1410" s="59"/>
    </row>
    <row r="1411" spans="3:8" ht="16.5" x14ac:dyDescent="0.25">
      <c r="C1411" s="56"/>
      <c r="D1411" s="60"/>
      <c r="E1411" s="112"/>
      <c r="F1411" s="59"/>
      <c r="G1411" s="59"/>
      <c r="H1411" s="59"/>
    </row>
    <row r="1412" spans="3:8" ht="16.5" x14ac:dyDescent="0.25">
      <c r="C1412" s="56"/>
      <c r="D1412" s="60"/>
      <c r="E1412" s="112"/>
      <c r="F1412" s="59"/>
      <c r="G1412" s="59"/>
      <c r="H1412" s="59"/>
    </row>
    <row r="1413" spans="3:8" ht="16.5" x14ac:dyDescent="0.25">
      <c r="C1413" s="56"/>
      <c r="D1413" s="60"/>
      <c r="E1413" s="112"/>
      <c r="F1413" s="59"/>
      <c r="G1413" s="59"/>
      <c r="H1413" s="59"/>
    </row>
    <row r="1414" spans="3:8" ht="16.5" x14ac:dyDescent="0.25">
      <c r="C1414" s="56"/>
      <c r="D1414" s="60"/>
      <c r="E1414" s="112"/>
      <c r="F1414" s="59"/>
      <c r="G1414" s="59"/>
      <c r="H1414" s="59"/>
    </row>
    <row r="1415" spans="3:8" ht="16.5" x14ac:dyDescent="0.25">
      <c r="C1415" s="56"/>
      <c r="D1415" s="60"/>
      <c r="E1415" s="112"/>
      <c r="F1415" s="59"/>
      <c r="G1415" s="59"/>
      <c r="H1415" s="59"/>
    </row>
    <row r="1416" spans="3:8" ht="16.5" x14ac:dyDescent="0.25">
      <c r="C1416" s="56"/>
      <c r="D1416" s="60"/>
      <c r="E1416" s="112"/>
      <c r="F1416" s="59"/>
      <c r="G1416" s="59"/>
      <c r="H1416" s="59"/>
    </row>
    <row r="1417" spans="3:8" ht="16.5" x14ac:dyDescent="0.25">
      <c r="C1417" s="56"/>
      <c r="D1417" s="60"/>
      <c r="E1417" s="112"/>
      <c r="F1417" s="59"/>
      <c r="G1417" s="59"/>
      <c r="H1417" s="59"/>
    </row>
    <row r="1418" spans="3:8" ht="16.5" x14ac:dyDescent="0.25">
      <c r="C1418" s="56"/>
      <c r="D1418" s="60"/>
      <c r="E1418" s="112"/>
      <c r="F1418" s="59"/>
      <c r="G1418" s="59"/>
      <c r="H1418" s="59"/>
    </row>
    <row r="1419" spans="3:8" ht="16.5" x14ac:dyDescent="0.25">
      <c r="C1419" s="56"/>
      <c r="D1419" s="60"/>
      <c r="E1419" s="112"/>
      <c r="F1419" s="59"/>
      <c r="G1419" s="59"/>
      <c r="H1419" s="59"/>
    </row>
    <row r="1420" spans="3:8" ht="16.5" x14ac:dyDescent="0.25">
      <c r="C1420" s="56"/>
      <c r="D1420" s="60"/>
      <c r="E1420" s="112"/>
      <c r="F1420" s="59"/>
      <c r="G1420" s="59"/>
      <c r="H1420" s="59"/>
    </row>
    <row r="1421" spans="3:8" ht="16.5" x14ac:dyDescent="0.25">
      <c r="C1421" s="56"/>
      <c r="D1421" s="60"/>
      <c r="E1421" s="112"/>
      <c r="F1421" s="59"/>
      <c r="G1421" s="59"/>
      <c r="H1421" s="59"/>
    </row>
    <row r="1422" spans="3:8" ht="16.5" x14ac:dyDescent="0.25">
      <c r="C1422" s="56"/>
      <c r="D1422" s="60"/>
      <c r="E1422" s="112"/>
      <c r="F1422" s="59"/>
      <c r="G1422" s="59"/>
      <c r="H1422" s="59"/>
    </row>
    <row r="1423" spans="3:8" ht="16.5" x14ac:dyDescent="0.25">
      <c r="C1423" s="56"/>
      <c r="D1423" s="60"/>
      <c r="E1423" s="112"/>
      <c r="F1423" s="59"/>
      <c r="G1423" s="59"/>
      <c r="H1423" s="59"/>
    </row>
    <row r="1424" spans="3:8" ht="16.5" x14ac:dyDescent="0.25">
      <c r="C1424" s="56"/>
      <c r="D1424" s="60"/>
      <c r="E1424" s="112"/>
      <c r="F1424" s="59"/>
      <c r="G1424" s="59"/>
      <c r="H1424" s="59"/>
    </row>
    <row r="1425" spans="3:8" ht="16.5" x14ac:dyDescent="0.25">
      <c r="C1425" s="56"/>
      <c r="D1425" s="60"/>
      <c r="E1425" s="112"/>
      <c r="F1425" s="59"/>
      <c r="G1425" s="59"/>
      <c r="H1425" s="59"/>
    </row>
    <row r="1426" spans="3:8" ht="16.5" x14ac:dyDescent="0.25">
      <c r="C1426" s="56"/>
      <c r="D1426" s="60"/>
      <c r="E1426" s="112"/>
      <c r="F1426" s="59"/>
      <c r="G1426" s="59"/>
      <c r="H1426" s="59"/>
    </row>
    <row r="1427" spans="3:8" ht="16.5" x14ac:dyDescent="0.25">
      <c r="C1427" s="56"/>
      <c r="D1427" s="60"/>
      <c r="E1427" s="116"/>
      <c r="F1427" s="59"/>
      <c r="G1427" s="59"/>
      <c r="H1427" s="59"/>
    </row>
    <row r="1428" spans="3:8" ht="16.5" x14ac:dyDescent="0.25">
      <c r="C1428" s="56"/>
      <c r="D1428" s="60"/>
      <c r="E1428" s="116"/>
      <c r="F1428" s="59"/>
      <c r="G1428" s="59"/>
      <c r="H1428" s="59"/>
    </row>
    <row r="1429" spans="3:8" ht="16.5" x14ac:dyDescent="0.25">
      <c r="C1429" s="56"/>
      <c r="D1429" s="60"/>
      <c r="E1429" s="116"/>
      <c r="F1429" s="59"/>
      <c r="G1429" s="59"/>
      <c r="H1429" s="59"/>
    </row>
    <row r="1430" spans="3:8" ht="16.5" x14ac:dyDescent="0.25">
      <c r="C1430" s="56"/>
      <c r="D1430" s="60"/>
      <c r="E1430" s="116"/>
      <c r="F1430" s="59"/>
      <c r="G1430" s="59"/>
      <c r="H1430" s="59"/>
    </row>
    <row r="1431" spans="3:8" ht="16.5" x14ac:dyDescent="0.25">
      <c r="C1431" s="56"/>
      <c r="D1431" s="60"/>
      <c r="E1431" s="116"/>
      <c r="F1431" s="59"/>
      <c r="G1431" s="59"/>
      <c r="H1431" s="59"/>
    </row>
    <row r="1432" spans="3:8" ht="16.5" x14ac:dyDescent="0.25">
      <c r="C1432" s="56"/>
      <c r="D1432" s="60"/>
      <c r="E1432" s="116"/>
      <c r="F1432" s="59"/>
      <c r="G1432" s="59"/>
      <c r="H1432" s="59"/>
    </row>
    <row r="1433" spans="3:8" ht="16.5" x14ac:dyDescent="0.25">
      <c r="C1433" s="56"/>
      <c r="D1433" s="60"/>
      <c r="E1433" s="116"/>
      <c r="F1433" s="59"/>
      <c r="G1433" s="59"/>
      <c r="H1433" s="59"/>
    </row>
    <row r="1434" spans="3:8" ht="16.5" x14ac:dyDescent="0.25">
      <c r="C1434" s="56"/>
      <c r="D1434" s="60"/>
      <c r="E1434" s="116"/>
      <c r="F1434" s="59"/>
      <c r="G1434" s="59"/>
      <c r="H1434" s="59"/>
    </row>
    <row r="1435" spans="3:8" ht="16.5" x14ac:dyDescent="0.25">
      <c r="C1435" s="56"/>
      <c r="D1435" s="60"/>
      <c r="E1435" s="116"/>
      <c r="F1435" s="59"/>
      <c r="G1435" s="59"/>
      <c r="H1435" s="59"/>
    </row>
    <row r="1436" spans="3:8" ht="16.5" x14ac:dyDescent="0.25">
      <c r="C1436" s="56"/>
      <c r="D1436" s="60"/>
      <c r="E1436" s="116"/>
      <c r="F1436" s="59"/>
      <c r="G1436" s="59"/>
      <c r="H1436" s="59"/>
    </row>
    <row r="1437" spans="3:8" ht="16.5" x14ac:dyDescent="0.25">
      <c r="C1437" s="56"/>
      <c r="D1437" s="60"/>
      <c r="E1437" s="116"/>
      <c r="F1437" s="59"/>
      <c r="G1437" s="59"/>
      <c r="H1437" s="59"/>
    </row>
    <row r="1438" spans="3:8" ht="16.5" x14ac:dyDescent="0.25">
      <c r="C1438" s="56"/>
      <c r="D1438" s="60"/>
      <c r="E1438" s="116"/>
      <c r="F1438" s="59"/>
      <c r="G1438" s="59"/>
      <c r="H1438" s="59"/>
    </row>
    <row r="1439" spans="3:8" ht="16.5" x14ac:dyDescent="0.25">
      <c r="C1439" s="56"/>
      <c r="D1439" s="60"/>
      <c r="E1439" s="116"/>
      <c r="F1439" s="59"/>
      <c r="G1439" s="59"/>
      <c r="H1439" s="59"/>
    </row>
    <row r="1440" spans="3:8" ht="16.5" x14ac:dyDescent="0.25">
      <c r="C1440" s="56"/>
      <c r="D1440" s="60"/>
      <c r="E1440" s="116"/>
      <c r="F1440" s="59"/>
      <c r="G1440" s="59"/>
      <c r="H1440" s="59"/>
    </row>
    <row r="1441" spans="3:8" ht="16.5" x14ac:dyDescent="0.25">
      <c r="C1441" s="56"/>
      <c r="D1441" s="60"/>
      <c r="E1441" s="116"/>
      <c r="F1441" s="59"/>
      <c r="G1441" s="59"/>
      <c r="H1441" s="59"/>
    </row>
    <row r="1442" spans="3:8" ht="16.5" x14ac:dyDescent="0.25">
      <c r="C1442" s="56"/>
      <c r="D1442" s="60"/>
      <c r="E1442" s="116"/>
      <c r="F1442" s="59"/>
      <c r="G1442" s="59"/>
      <c r="H1442" s="59"/>
    </row>
    <row r="1443" spans="3:8" ht="16.5" x14ac:dyDescent="0.25">
      <c r="C1443" s="56"/>
      <c r="D1443" s="60"/>
      <c r="E1443" s="116"/>
      <c r="F1443" s="59"/>
      <c r="G1443" s="59"/>
      <c r="H1443" s="59"/>
    </row>
    <row r="1444" spans="3:8" ht="16.5" x14ac:dyDescent="0.25">
      <c r="C1444" s="56"/>
      <c r="D1444" s="60"/>
      <c r="E1444" s="116"/>
      <c r="F1444" s="59"/>
      <c r="G1444" s="59"/>
      <c r="H1444" s="59"/>
    </row>
    <row r="1445" spans="3:8" ht="16.5" x14ac:dyDescent="0.25">
      <c r="C1445" s="56"/>
      <c r="D1445" s="60"/>
      <c r="E1445" s="116"/>
      <c r="F1445" s="59"/>
      <c r="G1445" s="59"/>
      <c r="H1445" s="59"/>
    </row>
    <row r="1446" spans="3:8" ht="16.5" x14ac:dyDescent="0.25">
      <c r="C1446" s="56"/>
      <c r="D1446" s="60"/>
      <c r="E1446" s="116"/>
      <c r="F1446" s="59"/>
      <c r="G1446" s="59"/>
      <c r="H1446" s="59"/>
    </row>
    <row r="1447" spans="3:8" ht="16.5" x14ac:dyDescent="0.25">
      <c r="C1447" s="56"/>
      <c r="D1447" s="60"/>
      <c r="E1447" s="116"/>
      <c r="F1447" s="59"/>
      <c r="G1447" s="59"/>
      <c r="H1447" s="59"/>
    </row>
    <row r="1448" spans="3:8" ht="16.5" x14ac:dyDescent="0.25">
      <c r="C1448" s="56"/>
      <c r="D1448" s="60"/>
      <c r="E1448" s="116"/>
      <c r="F1448" s="59"/>
      <c r="G1448" s="59"/>
      <c r="H1448" s="59"/>
    </row>
    <row r="1449" spans="3:8" ht="16.5" x14ac:dyDescent="0.25">
      <c r="C1449" s="56"/>
      <c r="D1449" s="60"/>
      <c r="E1449" s="116"/>
      <c r="F1449" s="59"/>
      <c r="G1449" s="59"/>
      <c r="H1449" s="59"/>
    </row>
    <row r="1450" spans="3:8" ht="16.5" x14ac:dyDescent="0.25">
      <c r="C1450" s="56"/>
      <c r="D1450" s="60"/>
      <c r="E1450" s="116"/>
      <c r="F1450" s="59"/>
      <c r="G1450" s="59"/>
      <c r="H1450" s="59"/>
    </row>
    <row r="1451" spans="3:8" ht="16.5" x14ac:dyDescent="0.25">
      <c r="C1451" s="56"/>
      <c r="D1451" s="60"/>
      <c r="E1451" s="116"/>
      <c r="F1451" s="59"/>
      <c r="G1451" s="59"/>
      <c r="H1451" s="59"/>
    </row>
    <row r="1452" spans="3:8" ht="16.5" x14ac:dyDescent="0.25">
      <c r="C1452" s="56"/>
      <c r="D1452" s="60"/>
      <c r="E1452" s="116"/>
      <c r="F1452" s="59"/>
      <c r="G1452" s="59"/>
      <c r="H1452" s="59"/>
    </row>
    <row r="1453" spans="3:8" ht="16.5" x14ac:dyDescent="0.25">
      <c r="C1453" s="56"/>
      <c r="D1453" s="60"/>
      <c r="E1453" s="116"/>
      <c r="F1453" s="59"/>
      <c r="G1453" s="59"/>
      <c r="H1453" s="59"/>
    </row>
    <row r="1454" spans="3:8" ht="16.5" x14ac:dyDescent="0.25">
      <c r="C1454" s="56"/>
      <c r="D1454" s="60"/>
      <c r="E1454" s="116"/>
      <c r="F1454" s="59"/>
      <c r="G1454" s="59"/>
      <c r="H1454" s="59"/>
    </row>
    <row r="1455" spans="3:8" ht="16.5" x14ac:dyDescent="0.25">
      <c r="C1455" s="56"/>
      <c r="D1455" s="60"/>
      <c r="E1455" s="116"/>
      <c r="F1455" s="59"/>
      <c r="G1455" s="59"/>
      <c r="H1455" s="59"/>
    </row>
    <row r="1456" spans="3:8" ht="16.5" x14ac:dyDescent="0.25">
      <c r="C1456" s="56"/>
      <c r="D1456" s="60"/>
      <c r="E1456" s="116"/>
      <c r="F1456" s="59"/>
      <c r="G1456" s="59"/>
      <c r="H1456" s="59"/>
    </row>
    <row r="1457" spans="3:8" ht="16.5" x14ac:dyDescent="0.25">
      <c r="C1457" s="56"/>
      <c r="D1457" s="60"/>
      <c r="E1457" s="116"/>
      <c r="F1457" s="59"/>
      <c r="G1457" s="59"/>
      <c r="H1457" s="59"/>
    </row>
    <row r="1458" spans="3:8" ht="16.5" x14ac:dyDescent="0.25">
      <c r="C1458" s="56"/>
      <c r="D1458" s="60"/>
      <c r="E1458" s="116"/>
      <c r="F1458" s="59"/>
      <c r="G1458" s="59"/>
      <c r="H1458" s="59"/>
    </row>
    <row r="1459" spans="3:8" ht="16.5" x14ac:dyDescent="0.25">
      <c r="C1459" s="56"/>
      <c r="D1459" s="60"/>
      <c r="E1459" s="116"/>
      <c r="F1459" s="59"/>
      <c r="G1459" s="59"/>
      <c r="H1459" s="59"/>
    </row>
    <row r="1460" spans="3:8" ht="16.5" x14ac:dyDescent="0.25">
      <c r="C1460" s="56"/>
      <c r="D1460" s="60"/>
      <c r="E1460" s="116"/>
      <c r="F1460" s="59"/>
      <c r="G1460" s="59"/>
      <c r="H1460" s="59"/>
    </row>
    <row r="1461" spans="3:8" ht="16.5" x14ac:dyDescent="0.25">
      <c r="C1461" s="56"/>
      <c r="D1461" s="60"/>
      <c r="E1461" s="116"/>
      <c r="F1461" s="59"/>
      <c r="G1461" s="59"/>
      <c r="H1461" s="59"/>
    </row>
    <row r="1462" spans="3:8" ht="16.5" x14ac:dyDescent="0.25">
      <c r="C1462" s="56"/>
      <c r="D1462" s="60"/>
      <c r="E1462" s="116"/>
      <c r="F1462" s="59"/>
      <c r="G1462" s="59"/>
      <c r="H1462" s="59"/>
    </row>
    <row r="1463" spans="3:8" ht="16.5" x14ac:dyDescent="0.25">
      <c r="C1463" s="56"/>
      <c r="D1463" s="60"/>
      <c r="E1463" s="116"/>
      <c r="F1463" s="59"/>
      <c r="G1463" s="59"/>
      <c r="H1463" s="59"/>
    </row>
    <row r="1464" spans="3:8" ht="16.5" x14ac:dyDescent="0.25">
      <c r="C1464" s="56"/>
      <c r="D1464" s="60"/>
      <c r="E1464" s="116"/>
      <c r="F1464" s="59"/>
      <c r="G1464" s="59"/>
      <c r="H1464" s="59"/>
    </row>
    <row r="1465" spans="3:8" ht="16.5" x14ac:dyDescent="0.25">
      <c r="C1465" s="56"/>
      <c r="D1465" s="60"/>
      <c r="E1465" s="116"/>
      <c r="F1465" s="59"/>
      <c r="G1465" s="59"/>
      <c r="H1465" s="59"/>
    </row>
    <row r="1466" spans="3:8" ht="16.5" x14ac:dyDescent="0.25">
      <c r="C1466" s="56"/>
      <c r="D1466" s="60"/>
      <c r="E1466" s="116"/>
      <c r="F1466" s="59"/>
      <c r="G1466" s="59"/>
      <c r="H1466" s="59"/>
    </row>
    <row r="1467" spans="3:8" ht="16.5" x14ac:dyDescent="0.25">
      <c r="C1467" s="56"/>
      <c r="D1467" s="60"/>
      <c r="E1467" s="116"/>
      <c r="F1467" s="59"/>
      <c r="G1467" s="59"/>
      <c r="H1467" s="59"/>
    </row>
    <row r="1468" spans="3:8" ht="16.5" x14ac:dyDescent="0.25">
      <c r="C1468" s="56"/>
      <c r="D1468" s="60"/>
      <c r="E1468" s="116"/>
      <c r="F1468" s="59"/>
      <c r="G1468" s="59"/>
      <c r="H1468" s="59"/>
    </row>
    <row r="1469" spans="3:8" ht="16.5" x14ac:dyDescent="0.25">
      <c r="C1469" s="56"/>
      <c r="D1469" s="60"/>
      <c r="E1469" s="116"/>
      <c r="F1469" s="59"/>
      <c r="G1469" s="59"/>
      <c r="H1469" s="59"/>
    </row>
    <row r="1470" spans="3:8" ht="16.5" x14ac:dyDescent="0.25">
      <c r="C1470" s="56"/>
      <c r="D1470" s="60"/>
      <c r="E1470" s="116"/>
      <c r="F1470" s="59"/>
      <c r="G1470" s="59"/>
      <c r="H1470" s="59"/>
    </row>
    <row r="1471" spans="3:8" ht="16.5" x14ac:dyDescent="0.25">
      <c r="C1471" s="56"/>
      <c r="D1471" s="60"/>
      <c r="E1471" s="116"/>
      <c r="F1471" s="59"/>
      <c r="G1471" s="59"/>
      <c r="H1471" s="59"/>
    </row>
    <row r="1472" spans="3:8" ht="16.5" x14ac:dyDescent="0.25">
      <c r="C1472" s="56"/>
      <c r="D1472" s="60"/>
      <c r="E1472" s="116"/>
      <c r="F1472" s="59"/>
      <c r="G1472" s="59"/>
      <c r="H1472" s="59"/>
    </row>
    <row r="1473" spans="3:8" ht="16.5" x14ac:dyDescent="0.25">
      <c r="C1473" s="56"/>
      <c r="D1473" s="60"/>
      <c r="E1473" s="116"/>
      <c r="F1473" s="59"/>
      <c r="G1473" s="59"/>
      <c r="H1473" s="59"/>
    </row>
    <row r="1474" spans="3:8" ht="16.5" x14ac:dyDescent="0.25">
      <c r="C1474" s="56"/>
      <c r="D1474" s="60"/>
      <c r="E1474" s="116"/>
      <c r="F1474" s="59"/>
      <c r="G1474" s="59"/>
      <c r="H1474" s="59"/>
    </row>
    <row r="1475" spans="3:8" ht="16.5" x14ac:dyDescent="0.25">
      <c r="C1475" s="56"/>
      <c r="D1475" s="60"/>
      <c r="E1475" s="116"/>
      <c r="F1475" s="59"/>
      <c r="G1475" s="59"/>
      <c r="H1475" s="59"/>
    </row>
    <row r="1476" spans="3:8" ht="16.5" x14ac:dyDescent="0.25">
      <c r="C1476" s="56"/>
      <c r="D1476" s="60"/>
      <c r="E1476" s="126"/>
      <c r="F1476" s="59"/>
      <c r="G1476" s="59"/>
      <c r="H1476" s="59"/>
    </row>
    <row r="1477" spans="3:8" ht="16.5" x14ac:dyDescent="0.25">
      <c r="C1477" s="56"/>
      <c r="D1477" s="60"/>
      <c r="E1477" s="121"/>
      <c r="F1477" s="59"/>
      <c r="G1477" s="59"/>
      <c r="H1477" s="59"/>
    </row>
    <row r="1478" spans="3:8" ht="16.5" x14ac:dyDescent="0.25">
      <c r="C1478" s="56"/>
      <c r="D1478" s="60"/>
      <c r="E1478" s="121"/>
      <c r="F1478" s="59"/>
      <c r="G1478" s="59"/>
      <c r="H1478" s="59"/>
    </row>
    <row r="1479" spans="3:8" ht="16.5" x14ac:dyDescent="0.25">
      <c r="C1479" s="56"/>
      <c r="D1479" s="60"/>
      <c r="E1479" s="121"/>
      <c r="F1479" s="59"/>
      <c r="G1479" s="59"/>
      <c r="H1479" s="59"/>
    </row>
    <row r="1480" spans="3:8" ht="16.5" x14ac:dyDescent="0.25">
      <c r="C1480" s="56"/>
      <c r="D1480" s="60"/>
      <c r="E1480" s="121"/>
      <c r="F1480" s="59"/>
      <c r="G1480" s="59"/>
      <c r="H1480" s="59"/>
    </row>
    <row r="1481" spans="3:8" ht="16.5" x14ac:dyDescent="0.25">
      <c r="C1481" s="56"/>
      <c r="D1481" s="60"/>
      <c r="E1481" s="121"/>
      <c r="F1481" s="59"/>
      <c r="G1481" s="59"/>
      <c r="H1481" s="59"/>
    </row>
    <row r="1482" spans="3:8" ht="16.5" x14ac:dyDescent="0.25">
      <c r="C1482" s="56"/>
      <c r="D1482" s="60"/>
      <c r="E1482" s="121"/>
      <c r="F1482" s="59"/>
      <c r="G1482" s="59"/>
      <c r="H1482" s="59"/>
    </row>
    <row r="1483" spans="3:8" ht="16.5" x14ac:dyDescent="0.25">
      <c r="C1483" s="56"/>
      <c r="D1483" s="60"/>
      <c r="E1483" s="121"/>
      <c r="F1483" s="59"/>
      <c r="G1483" s="59"/>
      <c r="H1483" s="59"/>
    </row>
    <row r="1484" spans="3:8" ht="16.5" x14ac:dyDescent="0.25">
      <c r="C1484" s="56"/>
      <c r="D1484" s="60"/>
      <c r="E1484" s="121"/>
      <c r="F1484" s="59"/>
      <c r="G1484" s="59"/>
      <c r="H1484" s="59"/>
    </row>
    <row r="1485" spans="3:8" ht="16.5" x14ac:dyDescent="0.25">
      <c r="C1485" s="56"/>
      <c r="D1485" s="60"/>
      <c r="E1485" s="121"/>
      <c r="F1485" s="59"/>
      <c r="G1485" s="59"/>
      <c r="H1485" s="59"/>
    </row>
    <row r="1486" spans="3:8" ht="16.5" x14ac:dyDescent="0.25">
      <c r="C1486" s="56"/>
      <c r="D1486" s="60"/>
      <c r="E1486" s="121"/>
      <c r="F1486" s="59"/>
      <c r="G1486" s="59"/>
      <c r="H1486" s="59"/>
    </row>
    <row r="1487" spans="3:8" ht="16.5" x14ac:dyDescent="0.25">
      <c r="C1487" s="56"/>
      <c r="D1487" s="60"/>
      <c r="E1487" s="112"/>
      <c r="F1487" s="59"/>
      <c r="G1487" s="59"/>
      <c r="H1487" s="59"/>
    </row>
    <row r="1488" spans="3:8" ht="16.5" x14ac:dyDescent="0.25">
      <c r="C1488" s="56"/>
      <c r="D1488" s="60"/>
      <c r="E1488" s="121"/>
      <c r="F1488" s="59"/>
      <c r="G1488" s="59"/>
      <c r="H1488" s="59"/>
    </row>
    <row r="1489" spans="3:8" ht="16.5" x14ac:dyDescent="0.25">
      <c r="C1489" s="56"/>
      <c r="D1489" s="60"/>
      <c r="E1489" s="121"/>
      <c r="F1489" s="59"/>
      <c r="G1489" s="59"/>
      <c r="H1489" s="59"/>
    </row>
    <row r="1490" spans="3:8" ht="16.5" x14ac:dyDescent="0.25">
      <c r="C1490" s="56"/>
      <c r="D1490" s="60"/>
      <c r="E1490" s="121"/>
      <c r="F1490" s="59"/>
      <c r="G1490" s="59"/>
      <c r="H1490" s="59"/>
    </row>
    <row r="1491" spans="3:8" ht="16.5" x14ac:dyDescent="0.25">
      <c r="C1491" s="56"/>
      <c r="D1491" s="60"/>
      <c r="E1491" s="121"/>
      <c r="F1491" s="59"/>
      <c r="G1491" s="59"/>
      <c r="H1491" s="59"/>
    </row>
    <row r="1492" spans="3:8" ht="16.5" x14ac:dyDescent="0.25">
      <c r="C1492" s="56"/>
      <c r="D1492" s="60"/>
      <c r="E1492" s="121"/>
      <c r="F1492" s="59"/>
      <c r="G1492" s="59"/>
      <c r="H1492" s="59"/>
    </row>
    <row r="1493" spans="3:8" ht="16.5" x14ac:dyDescent="0.25">
      <c r="C1493" s="56"/>
      <c r="D1493" s="60"/>
      <c r="E1493" s="121"/>
      <c r="F1493" s="59"/>
      <c r="G1493" s="59"/>
      <c r="H1493" s="59"/>
    </row>
    <row r="1494" spans="3:8" ht="16.5" x14ac:dyDescent="0.25">
      <c r="C1494" s="56"/>
      <c r="D1494" s="60"/>
      <c r="E1494" s="121"/>
      <c r="F1494" s="59"/>
      <c r="G1494" s="59"/>
      <c r="H1494" s="59"/>
    </row>
    <row r="1495" spans="3:8" ht="16.5" x14ac:dyDescent="0.25">
      <c r="C1495" s="56"/>
      <c r="D1495" s="60"/>
      <c r="E1495" s="121"/>
      <c r="F1495" s="59"/>
      <c r="G1495" s="59"/>
      <c r="H1495" s="59"/>
    </row>
    <row r="1496" spans="3:8" ht="16.5" x14ac:dyDescent="0.25">
      <c r="C1496" s="56"/>
      <c r="D1496" s="60"/>
      <c r="E1496" s="121"/>
      <c r="F1496" s="59"/>
      <c r="G1496" s="59"/>
      <c r="H1496" s="59"/>
    </row>
    <row r="1497" spans="3:8" ht="16.5" x14ac:dyDescent="0.25">
      <c r="C1497" s="56"/>
      <c r="D1497" s="60"/>
      <c r="E1497" s="121"/>
      <c r="F1497" s="59"/>
      <c r="G1497" s="59"/>
      <c r="H1497" s="59"/>
    </row>
    <row r="1498" spans="3:8" ht="16.5" x14ac:dyDescent="0.25">
      <c r="C1498" s="56"/>
      <c r="D1498" s="60"/>
      <c r="E1498" s="121"/>
      <c r="F1498" s="59"/>
      <c r="G1498" s="59"/>
      <c r="H1498" s="59"/>
    </row>
    <row r="1499" spans="3:8" ht="16.5" x14ac:dyDescent="0.25">
      <c r="C1499" s="56"/>
      <c r="D1499" s="60"/>
      <c r="E1499" s="121"/>
      <c r="F1499" s="59"/>
      <c r="G1499" s="59"/>
      <c r="H1499" s="59"/>
    </row>
    <row r="1500" spans="3:8" ht="16.5" x14ac:dyDescent="0.25">
      <c r="C1500" s="56"/>
      <c r="D1500" s="60"/>
      <c r="E1500" s="121"/>
      <c r="F1500" s="59"/>
      <c r="G1500" s="59"/>
      <c r="H1500" s="59"/>
    </row>
    <row r="1501" spans="3:8" ht="16.5" x14ac:dyDescent="0.25">
      <c r="C1501" s="56"/>
      <c r="D1501" s="60"/>
      <c r="E1501" s="121"/>
      <c r="F1501" s="59"/>
      <c r="G1501" s="59"/>
      <c r="H1501" s="59"/>
    </row>
    <row r="1502" spans="3:8" ht="16.5" x14ac:dyDescent="0.25">
      <c r="C1502" s="56"/>
      <c r="D1502" s="60"/>
      <c r="E1502" s="121"/>
      <c r="F1502" s="59"/>
      <c r="G1502" s="59"/>
      <c r="H1502" s="59"/>
    </row>
    <row r="1503" spans="3:8" ht="16.5" x14ac:dyDescent="0.25">
      <c r="C1503" s="56"/>
      <c r="D1503" s="60"/>
      <c r="E1503" s="121"/>
      <c r="F1503" s="59"/>
      <c r="G1503" s="59"/>
      <c r="H1503" s="59"/>
    </row>
    <row r="1504" spans="3:8" ht="16.5" x14ac:dyDescent="0.25">
      <c r="C1504" s="56"/>
      <c r="D1504" s="60"/>
      <c r="E1504" s="121"/>
      <c r="F1504" s="59"/>
      <c r="G1504" s="59"/>
      <c r="H1504" s="59"/>
    </row>
    <row r="1505" spans="3:8" ht="16.5" x14ac:dyDescent="0.25">
      <c r="C1505" s="56"/>
      <c r="D1505" s="60"/>
      <c r="E1505" s="112"/>
      <c r="F1505" s="59"/>
      <c r="G1505" s="59"/>
      <c r="H1505" s="59"/>
    </row>
    <row r="1506" spans="3:8" ht="16.5" x14ac:dyDescent="0.25">
      <c r="C1506" s="56"/>
      <c r="D1506" s="60"/>
      <c r="E1506" s="121"/>
      <c r="F1506" s="59"/>
      <c r="G1506" s="59"/>
      <c r="H1506" s="59"/>
    </row>
    <row r="1507" spans="3:8" ht="16.5" x14ac:dyDescent="0.25">
      <c r="C1507" s="56"/>
      <c r="D1507" s="60"/>
      <c r="E1507" s="121"/>
      <c r="F1507" s="59"/>
      <c r="G1507" s="59"/>
      <c r="H1507" s="59"/>
    </row>
    <row r="1508" spans="3:8" ht="16.5" x14ac:dyDescent="0.25">
      <c r="C1508" s="56"/>
      <c r="D1508" s="60"/>
      <c r="E1508" s="121"/>
      <c r="F1508" s="59"/>
      <c r="G1508" s="59"/>
      <c r="H1508" s="59"/>
    </row>
    <row r="1509" spans="3:8" ht="16.5" x14ac:dyDescent="0.25">
      <c r="C1509" s="56"/>
      <c r="D1509" s="60"/>
      <c r="E1509" s="121"/>
      <c r="F1509" s="59"/>
      <c r="G1509" s="59"/>
      <c r="H1509" s="59"/>
    </row>
    <row r="1510" spans="3:8" ht="16.5" x14ac:dyDescent="0.25">
      <c r="C1510" s="56"/>
      <c r="D1510" s="60"/>
      <c r="E1510" s="121"/>
      <c r="F1510" s="59"/>
      <c r="G1510" s="59"/>
      <c r="H1510" s="59"/>
    </row>
    <row r="1511" spans="3:8" ht="16.5" x14ac:dyDescent="0.25">
      <c r="C1511" s="56"/>
      <c r="D1511" s="60"/>
      <c r="E1511" s="121"/>
      <c r="F1511" s="59"/>
      <c r="G1511" s="59"/>
      <c r="H1511" s="59"/>
    </row>
    <row r="1512" spans="3:8" ht="16.5" x14ac:dyDescent="0.25">
      <c r="C1512" s="56"/>
      <c r="D1512" s="60"/>
      <c r="E1512" s="121"/>
      <c r="F1512" s="59"/>
      <c r="G1512" s="59"/>
      <c r="H1512" s="59"/>
    </row>
    <row r="1513" spans="3:8" ht="16.5" x14ac:dyDescent="0.25">
      <c r="C1513" s="56"/>
      <c r="D1513" s="60"/>
      <c r="E1513" s="121"/>
      <c r="F1513" s="59"/>
      <c r="G1513" s="59"/>
      <c r="H1513" s="59"/>
    </row>
    <row r="1514" spans="3:8" ht="16.5" x14ac:dyDescent="0.25">
      <c r="C1514" s="56"/>
      <c r="D1514" s="60"/>
      <c r="E1514" s="121"/>
      <c r="F1514" s="59"/>
      <c r="G1514" s="59"/>
      <c r="H1514" s="59"/>
    </row>
    <row r="1515" spans="3:8" ht="16.5" x14ac:dyDescent="0.25">
      <c r="C1515" s="56"/>
      <c r="D1515" s="60"/>
      <c r="E1515" s="121"/>
      <c r="F1515" s="59"/>
      <c r="G1515" s="59"/>
      <c r="H1515" s="59"/>
    </row>
    <row r="1516" spans="3:8" ht="16.5" x14ac:dyDescent="0.25">
      <c r="C1516" s="56"/>
      <c r="D1516" s="60"/>
      <c r="E1516" s="121"/>
      <c r="F1516" s="59"/>
      <c r="G1516" s="59"/>
      <c r="H1516" s="59"/>
    </row>
    <row r="1517" spans="3:8" ht="16.5" x14ac:dyDescent="0.25">
      <c r="C1517" s="56"/>
      <c r="D1517" s="60"/>
      <c r="E1517" s="121"/>
      <c r="F1517" s="59"/>
      <c r="G1517" s="59"/>
      <c r="H1517" s="59"/>
    </row>
    <row r="1518" spans="3:8" ht="16.5" x14ac:dyDescent="0.25">
      <c r="C1518" s="56"/>
      <c r="D1518" s="60"/>
      <c r="E1518" s="121"/>
      <c r="F1518" s="59"/>
      <c r="G1518" s="59"/>
      <c r="H1518" s="59"/>
    </row>
    <row r="1519" spans="3:8" ht="16.5" x14ac:dyDescent="0.25">
      <c r="C1519" s="56"/>
      <c r="D1519" s="60"/>
      <c r="E1519" s="121"/>
      <c r="F1519" s="59"/>
      <c r="G1519" s="59"/>
      <c r="H1519" s="59"/>
    </row>
    <row r="1520" spans="3:8" ht="16.5" x14ac:dyDescent="0.25">
      <c r="C1520" s="56"/>
      <c r="D1520" s="60"/>
      <c r="E1520" s="121"/>
      <c r="F1520" s="59"/>
      <c r="G1520" s="59"/>
      <c r="H1520" s="59"/>
    </row>
    <row r="1521" spans="3:8" ht="16.5" x14ac:dyDescent="0.25">
      <c r="C1521" s="56"/>
      <c r="D1521" s="60"/>
      <c r="E1521" s="121"/>
      <c r="F1521" s="59"/>
      <c r="G1521" s="59"/>
      <c r="H1521" s="59"/>
    </row>
    <row r="1522" spans="3:8" ht="16.5" x14ac:dyDescent="0.25">
      <c r="C1522" s="56"/>
      <c r="D1522" s="60"/>
      <c r="E1522" s="121"/>
      <c r="F1522" s="59"/>
      <c r="G1522" s="59"/>
      <c r="H1522" s="59"/>
    </row>
    <row r="1523" spans="3:8" ht="16.5" x14ac:dyDescent="0.25">
      <c r="C1523" s="56"/>
      <c r="D1523" s="60"/>
      <c r="E1523" s="121"/>
      <c r="F1523" s="59"/>
      <c r="G1523" s="59"/>
      <c r="H1523" s="59"/>
    </row>
    <row r="1524" spans="3:8" ht="16.5" x14ac:dyDescent="0.25">
      <c r="C1524" s="56"/>
      <c r="D1524" s="60"/>
      <c r="E1524" s="121"/>
      <c r="F1524" s="59"/>
      <c r="G1524" s="59"/>
      <c r="H1524" s="59"/>
    </row>
    <row r="1525" spans="3:8" x14ac:dyDescent="0.25">
      <c r="C1525" s="56"/>
      <c r="D1525" s="60"/>
      <c r="E1525" s="60"/>
      <c r="F1525" s="59"/>
      <c r="G1525" s="59"/>
      <c r="H1525" s="59"/>
    </row>
    <row r="1526" spans="3:8" x14ac:dyDescent="0.25">
      <c r="C1526" s="56"/>
      <c r="D1526" s="60"/>
      <c r="E1526" s="60"/>
      <c r="F1526" s="59"/>
      <c r="G1526" s="59"/>
      <c r="H1526" s="59"/>
    </row>
    <row r="1527" spans="3:8" x14ac:dyDescent="0.25">
      <c r="C1527" s="56"/>
      <c r="D1527" s="60"/>
      <c r="E1527" s="60"/>
      <c r="F1527" s="59"/>
      <c r="G1527" s="59"/>
      <c r="H1527" s="59"/>
    </row>
    <row r="1528" spans="3:8" x14ac:dyDescent="0.25">
      <c r="C1528" s="56"/>
      <c r="D1528" s="60"/>
      <c r="E1528" s="60"/>
      <c r="F1528" s="59"/>
      <c r="G1528" s="59"/>
      <c r="H1528" s="59"/>
    </row>
    <row r="1529" spans="3:8" x14ac:dyDescent="0.25">
      <c r="C1529" s="56"/>
      <c r="D1529" s="60"/>
      <c r="E1529" s="60"/>
      <c r="F1529" s="59"/>
      <c r="G1529" s="59"/>
      <c r="H1529" s="59"/>
    </row>
    <row r="1530" spans="3:8" x14ac:dyDescent="0.25">
      <c r="C1530" s="56"/>
      <c r="D1530" s="60"/>
      <c r="E1530" s="60"/>
      <c r="F1530" s="59"/>
      <c r="G1530" s="59"/>
      <c r="H1530" s="59"/>
    </row>
    <row r="1531" spans="3:8" x14ac:dyDescent="0.25">
      <c r="C1531" s="56"/>
      <c r="D1531" s="60"/>
      <c r="E1531" s="60"/>
      <c r="F1531" s="59"/>
      <c r="G1531" s="59"/>
      <c r="H1531" s="59"/>
    </row>
    <row r="1532" spans="3:8" x14ac:dyDescent="0.25">
      <c r="C1532" s="56"/>
      <c r="D1532" s="60"/>
      <c r="E1532" s="60"/>
      <c r="F1532" s="59"/>
      <c r="G1532" s="59"/>
      <c r="H1532" s="59"/>
    </row>
    <row r="1533" spans="3:8" x14ac:dyDescent="0.25">
      <c r="C1533" s="56"/>
      <c r="D1533" s="60"/>
      <c r="E1533" s="60"/>
      <c r="F1533" s="59"/>
      <c r="G1533" s="59"/>
      <c r="H1533" s="59"/>
    </row>
    <row r="1534" spans="3:8" x14ac:dyDescent="0.25">
      <c r="C1534" s="56"/>
      <c r="D1534" s="60"/>
      <c r="E1534" s="60"/>
      <c r="F1534" s="59"/>
      <c r="G1534" s="59"/>
      <c r="H1534" s="59"/>
    </row>
    <row r="1535" spans="3:8" x14ac:dyDescent="0.25">
      <c r="C1535" s="56"/>
      <c r="D1535" s="60"/>
      <c r="E1535" s="60"/>
      <c r="F1535" s="59"/>
      <c r="G1535" s="59"/>
      <c r="H1535" s="59"/>
    </row>
    <row r="1536" spans="3:8" x14ac:dyDescent="0.25">
      <c r="C1536" s="56"/>
      <c r="D1536" s="60"/>
      <c r="E1536" s="60"/>
      <c r="F1536" s="59"/>
      <c r="G1536" s="59"/>
      <c r="H1536" s="59"/>
    </row>
    <row r="1537" spans="3:8" x14ac:dyDescent="0.25">
      <c r="C1537" s="56"/>
      <c r="D1537" s="60"/>
      <c r="E1537" s="60"/>
      <c r="F1537" s="59"/>
      <c r="G1537" s="59"/>
      <c r="H1537" s="59"/>
    </row>
    <row r="1538" spans="3:8" x14ac:dyDescent="0.25">
      <c r="C1538" s="56"/>
      <c r="D1538" s="60"/>
      <c r="E1538" s="60"/>
      <c r="F1538" s="59"/>
      <c r="G1538" s="59"/>
      <c r="H1538" s="59"/>
    </row>
    <row r="1539" spans="3:8" x14ac:dyDescent="0.25">
      <c r="C1539" s="56"/>
      <c r="D1539" s="60"/>
      <c r="E1539" s="60"/>
      <c r="F1539" s="59"/>
      <c r="G1539" s="59"/>
      <c r="H1539" s="59"/>
    </row>
    <row r="1540" spans="3:8" x14ac:dyDescent="0.25">
      <c r="C1540" s="56"/>
      <c r="D1540" s="60"/>
      <c r="E1540" s="60"/>
      <c r="F1540" s="59"/>
      <c r="G1540" s="59"/>
      <c r="H1540" s="59"/>
    </row>
    <row r="1541" spans="3:8" x14ac:dyDescent="0.25">
      <c r="C1541" s="56"/>
      <c r="D1541" s="60"/>
      <c r="E1541" s="60"/>
      <c r="F1541" s="59"/>
      <c r="G1541" s="59"/>
      <c r="H1541" s="59"/>
    </row>
    <row r="1542" spans="3:8" x14ac:dyDescent="0.25">
      <c r="C1542" s="56"/>
      <c r="D1542" s="60"/>
      <c r="E1542" s="60"/>
      <c r="F1542" s="59"/>
      <c r="G1542" s="59"/>
      <c r="H1542" s="59"/>
    </row>
    <row r="1543" spans="3:8" x14ac:dyDescent="0.25">
      <c r="C1543" s="56"/>
      <c r="D1543" s="60"/>
      <c r="E1543" s="60"/>
      <c r="F1543" s="59"/>
      <c r="G1543" s="59"/>
      <c r="H1543" s="59"/>
    </row>
    <row r="1544" spans="3:8" x14ac:dyDescent="0.25">
      <c r="C1544" s="56"/>
      <c r="D1544" s="60"/>
      <c r="E1544" s="60"/>
      <c r="F1544" s="59"/>
      <c r="G1544" s="59"/>
      <c r="H1544" s="59"/>
    </row>
    <row r="1545" spans="3:8" x14ac:dyDescent="0.25">
      <c r="C1545" s="56"/>
      <c r="D1545" s="60"/>
      <c r="E1545" s="60"/>
      <c r="F1545" s="59"/>
      <c r="G1545" s="59"/>
      <c r="H1545" s="59"/>
    </row>
    <row r="1546" spans="3:8" x14ac:dyDescent="0.25">
      <c r="C1546" s="56"/>
      <c r="D1546" s="60"/>
      <c r="E1546" s="60"/>
      <c r="F1546" s="59"/>
      <c r="G1546" s="59"/>
      <c r="H1546" s="59"/>
    </row>
    <row r="1547" spans="3:8" x14ac:dyDescent="0.25">
      <c r="C1547" s="56"/>
      <c r="D1547" s="60"/>
      <c r="E1547" s="60"/>
      <c r="F1547" s="59"/>
      <c r="G1547" s="59"/>
      <c r="H1547" s="59"/>
    </row>
    <row r="1548" spans="3:8" x14ac:dyDescent="0.25">
      <c r="C1548" s="56"/>
      <c r="D1548" s="60"/>
      <c r="E1548" s="60"/>
      <c r="F1548" s="59"/>
      <c r="G1548" s="59"/>
      <c r="H1548" s="59"/>
    </row>
    <row r="1549" spans="3:8" x14ac:dyDescent="0.25">
      <c r="C1549" s="56"/>
      <c r="D1549" s="60"/>
      <c r="E1549" s="60"/>
      <c r="F1549" s="59"/>
      <c r="G1549" s="59"/>
      <c r="H1549" s="59"/>
    </row>
    <row r="1550" spans="3:8" x14ac:dyDescent="0.25">
      <c r="C1550" s="56"/>
      <c r="D1550" s="60"/>
      <c r="E1550" s="60"/>
      <c r="F1550" s="59"/>
      <c r="G1550" s="59"/>
      <c r="H1550" s="59"/>
    </row>
    <row r="1551" spans="3:8" x14ac:dyDescent="0.25">
      <c r="C1551" s="56"/>
      <c r="D1551" s="60"/>
      <c r="E1551" s="60"/>
      <c r="F1551" s="59"/>
      <c r="G1551" s="59"/>
      <c r="H1551" s="59"/>
    </row>
    <row r="1552" spans="3:8" x14ac:dyDescent="0.25">
      <c r="C1552" s="56"/>
      <c r="D1552" s="60"/>
      <c r="E1552" s="60"/>
      <c r="F1552" s="59"/>
      <c r="G1552" s="59"/>
      <c r="H1552" s="59"/>
    </row>
    <row r="1553" spans="3:8" x14ac:dyDescent="0.25">
      <c r="C1553" s="56"/>
      <c r="D1553" s="60"/>
      <c r="E1553" s="60"/>
      <c r="F1553" s="59"/>
      <c r="G1553" s="59"/>
      <c r="H1553" s="59"/>
    </row>
    <row r="1554" spans="3:8" x14ac:dyDescent="0.25">
      <c r="C1554" s="56"/>
      <c r="D1554" s="60"/>
      <c r="E1554" s="60"/>
      <c r="F1554" s="59"/>
      <c r="G1554" s="59"/>
      <c r="H1554" s="59"/>
    </row>
    <row r="1555" spans="3:8" x14ac:dyDescent="0.25">
      <c r="C1555" s="56"/>
      <c r="D1555" s="60"/>
      <c r="E1555" s="60"/>
      <c r="F1555" s="59"/>
      <c r="G1555" s="59"/>
      <c r="H1555" s="59"/>
    </row>
    <row r="1556" spans="3:8" x14ac:dyDescent="0.25">
      <c r="C1556" s="56"/>
      <c r="D1556" s="60"/>
      <c r="E1556" s="60"/>
      <c r="F1556" s="59"/>
      <c r="G1556" s="59"/>
      <c r="H1556" s="59"/>
    </row>
    <row r="1557" spans="3:8" x14ac:dyDescent="0.25">
      <c r="C1557" s="56"/>
      <c r="D1557" s="60"/>
      <c r="E1557" s="60"/>
      <c r="F1557" s="59"/>
      <c r="G1557" s="59"/>
      <c r="H1557" s="59"/>
    </row>
    <row r="1558" spans="3:8" x14ac:dyDescent="0.25">
      <c r="C1558" s="56"/>
      <c r="D1558" s="60"/>
      <c r="E1558" s="60"/>
      <c r="F1558" s="59"/>
      <c r="G1558" s="59"/>
      <c r="H1558" s="59"/>
    </row>
    <row r="1559" spans="3:8" x14ac:dyDescent="0.25">
      <c r="C1559" s="56"/>
      <c r="D1559" s="60"/>
      <c r="E1559" s="60"/>
      <c r="F1559" s="59"/>
      <c r="G1559" s="59"/>
      <c r="H1559" s="59"/>
    </row>
    <row r="1560" spans="3:8" x14ac:dyDescent="0.25">
      <c r="C1560" s="56"/>
      <c r="D1560" s="60"/>
      <c r="E1560" s="60"/>
      <c r="F1560" s="59"/>
      <c r="G1560" s="59"/>
      <c r="H1560" s="59"/>
    </row>
    <row r="1561" spans="3:8" x14ac:dyDescent="0.25">
      <c r="C1561" s="56"/>
      <c r="D1561" s="60"/>
      <c r="E1561" s="60"/>
      <c r="F1561" s="59"/>
      <c r="G1561" s="59"/>
      <c r="H1561" s="59"/>
    </row>
    <row r="1562" spans="3:8" x14ac:dyDescent="0.25">
      <c r="C1562" s="56"/>
      <c r="D1562" s="60"/>
      <c r="E1562" s="60"/>
      <c r="F1562" s="59"/>
      <c r="G1562" s="59"/>
      <c r="H1562" s="59"/>
    </row>
    <row r="1563" spans="3:8" x14ac:dyDescent="0.25">
      <c r="C1563" s="56"/>
      <c r="D1563" s="60"/>
      <c r="E1563" s="60"/>
      <c r="F1563" s="59"/>
      <c r="G1563" s="59"/>
      <c r="H1563" s="59"/>
    </row>
    <row r="1564" spans="3:8" x14ac:dyDescent="0.25">
      <c r="C1564" s="56"/>
      <c r="D1564" s="60"/>
      <c r="E1564" s="60"/>
      <c r="F1564" s="59"/>
      <c r="G1564" s="59"/>
      <c r="H1564" s="59"/>
    </row>
    <row r="1565" spans="3:8" x14ac:dyDescent="0.25">
      <c r="C1565" s="56"/>
      <c r="D1565" s="60"/>
      <c r="E1565" s="60"/>
      <c r="F1565" s="59"/>
      <c r="G1565" s="59"/>
      <c r="H1565" s="59"/>
    </row>
    <row r="1566" spans="3:8" x14ac:dyDescent="0.25">
      <c r="C1566" s="56"/>
      <c r="D1566" s="60"/>
      <c r="E1566" s="60"/>
      <c r="F1566" s="59"/>
      <c r="G1566" s="59"/>
      <c r="H1566" s="59"/>
    </row>
    <row r="1567" spans="3:8" x14ac:dyDescent="0.25">
      <c r="C1567" s="56"/>
      <c r="D1567" s="60"/>
      <c r="E1567" s="60"/>
      <c r="F1567" s="59"/>
      <c r="G1567" s="59"/>
      <c r="H1567" s="59"/>
    </row>
    <row r="1568" spans="3:8" x14ac:dyDescent="0.25">
      <c r="C1568" s="56"/>
      <c r="D1568" s="60"/>
      <c r="E1568" s="60"/>
      <c r="F1568" s="59"/>
      <c r="G1568" s="59"/>
      <c r="H1568" s="59"/>
    </row>
    <row r="1569" spans="3:8" x14ac:dyDescent="0.25">
      <c r="C1569" s="56"/>
      <c r="D1569" s="60"/>
      <c r="E1569" s="60"/>
      <c r="F1569" s="59"/>
      <c r="G1569" s="59"/>
      <c r="H1569" s="59"/>
    </row>
    <row r="1570" spans="3:8" x14ac:dyDescent="0.25">
      <c r="C1570" s="56"/>
      <c r="D1570" s="60"/>
      <c r="E1570" s="60"/>
      <c r="F1570" s="59"/>
      <c r="G1570" s="59"/>
      <c r="H1570" s="59"/>
    </row>
    <row r="1571" spans="3:8" x14ac:dyDescent="0.25">
      <c r="C1571" s="56"/>
      <c r="D1571" s="60"/>
      <c r="E1571" s="60"/>
      <c r="F1571" s="59"/>
      <c r="G1571" s="59"/>
      <c r="H1571" s="59"/>
    </row>
    <row r="1572" spans="3:8" x14ac:dyDescent="0.25">
      <c r="C1572" s="56"/>
      <c r="D1572" s="60"/>
      <c r="E1572" s="60"/>
      <c r="F1572" s="59"/>
      <c r="G1572" s="59"/>
      <c r="H1572" s="59"/>
    </row>
    <row r="1573" spans="3:8" x14ac:dyDescent="0.25">
      <c r="C1573" s="56"/>
      <c r="D1573" s="60"/>
      <c r="E1573" s="60"/>
      <c r="F1573" s="59"/>
      <c r="G1573" s="59"/>
      <c r="H1573" s="59"/>
    </row>
    <row r="1574" spans="3:8" x14ac:dyDescent="0.25">
      <c r="C1574" s="56"/>
      <c r="D1574" s="60"/>
      <c r="E1574" s="60"/>
      <c r="F1574" s="59"/>
      <c r="G1574" s="59"/>
      <c r="H1574" s="59"/>
    </row>
    <row r="1575" spans="3:8" x14ac:dyDescent="0.25">
      <c r="C1575" s="56"/>
      <c r="D1575" s="60"/>
      <c r="E1575" s="60"/>
      <c r="F1575" s="59"/>
      <c r="G1575" s="59"/>
      <c r="H1575" s="59"/>
    </row>
    <row r="1576" spans="3:8" x14ac:dyDescent="0.25">
      <c r="C1576" s="56"/>
      <c r="D1576" s="60"/>
      <c r="E1576" s="60"/>
      <c r="F1576" s="59"/>
      <c r="G1576" s="59"/>
      <c r="H1576" s="59"/>
    </row>
    <row r="1577" spans="3:8" x14ac:dyDescent="0.25">
      <c r="C1577" s="56"/>
      <c r="D1577" s="60"/>
      <c r="E1577" s="60"/>
      <c r="F1577" s="59"/>
      <c r="G1577" s="59"/>
      <c r="H1577" s="59"/>
    </row>
    <row r="1578" spans="3:8" x14ac:dyDescent="0.25">
      <c r="C1578" s="56"/>
      <c r="D1578" s="60"/>
      <c r="E1578" s="60"/>
      <c r="F1578" s="59"/>
      <c r="G1578" s="59"/>
      <c r="H1578" s="59"/>
    </row>
    <row r="1579" spans="3:8" x14ac:dyDescent="0.25">
      <c r="C1579" s="56"/>
      <c r="D1579" s="60"/>
      <c r="E1579" s="60"/>
      <c r="F1579" s="59"/>
      <c r="G1579" s="59"/>
      <c r="H1579" s="59"/>
    </row>
    <row r="1580" spans="3:8" x14ac:dyDescent="0.25">
      <c r="C1580" s="56"/>
      <c r="D1580" s="60"/>
      <c r="E1580" s="60"/>
      <c r="F1580" s="59"/>
      <c r="G1580" s="59"/>
      <c r="H1580" s="59"/>
    </row>
    <row r="1581" spans="3:8" x14ac:dyDescent="0.25">
      <c r="C1581" s="56"/>
      <c r="D1581" s="60"/>
      <c r="E1581" s="60"/>
      <c r="F1581" s="59"/>
      <c r="G1581" s="59"/>
      <c r="H1581" s="59"/>
    </row>
    <row r="1582" spans="3:8" x14ac:dyDescent="0.25">
      <c r="C1582" s="56"/>
      <c r="D1582" s="60"/>
      <c r="E1582" s="60"/>
      <c r="F1582" s="59"/>
      <c r="G1582" s="59"/>
      <c r="H1582" s="59"/>
    </row>
    <row r="1583" spans="3:8" x14ac:dyDescent="0.25">
      <c r="C1583" s="56"/>
      <c r="D1583" s="60"/>
      <c r="E1583" s="60"/>
      <c r="F1583" s="59"/>
      <c r="G1583" s="59"/>
      <c r="H1583" s="59"/>
    </row>
    <row r="1584" spans="3:8" x14ac:dyDescent="0.25">
      <c r="C1584" s="56"/>
      <c r="D1584" s="60"/>
      <c r="E1584" s="60"/>
      <c r="F1584" s="59"/>
      <c r="G1584" s="59"/>
      <c r="H1584" s="59"/>
    </row>
    <row r="1585" spans="3:8" x14ac:dyDescent="0.25">
      <c r="C1585" s="56"/>
      <c r="D1585" s="60"/>
      <c r="E1585" s="60"/>
      <c r="F1585" s="59"/>
      <c r="G1585" s="59"/>
      <c r="H1585" s="59"/>
    </row>
    <row r="1586" spans="3:8" x14ac:dyDescent="0.25">
      <c r="C1586" s="56"/>
      <c r="D1586" s="60"/>
      <c r="E1586" s="60"/>
      <c r="F1586" s="59"/>
      <c r="G1586" s="59"/>
      <c r="H1586" s="59"/>
    </row>
    <row r="1587" spans="3:8" x14ac:dyDescent="0.25">
      <c r="C1587" s="56"/>
      <c r="D1587" s="60"/>
      <c r="E1587" s="60"/>
      <c r="F1587" s="59"/>
      <c r="G1587" s="59"/>
      <c r="H1587" s="59"/>
    </row>
    <row r="1588" spans="3:8" x14ac:dyDescent="0.25">
      <c r="C1588" s="56"/>
      <c r="D1588" s="60"/>
      <c r="E1588" s="60"/>
      <c r="F1588" s="59"/>
      <c r="G1588" s="59"/>
      <c r="H1588" s="59"/>
    </row>
    <row r="1589" spans="3:8" x14ac:dyDescent="0.25">
      <c r="C1589" s="56"/>
      <c r="D1589" s="60"/>
      <c r="E1589" s="60"/>
      <c r="F1589" s="59"/>
      <c r="G1589" s="59"/>
      <c r="H1589" s="59"/>
    </row>
    <row r="1590" spans="3:8" x14ac:dyDescent="0.25">
      <c r="C1590" s="56"/>
      <c r="D1590" s="60"/>
      <c r="E1590" s="60"/>
      <c r="F1590" s="59"/>
      <c r="G1590" s="59"/>
      <c r="H1590" s="59"/>
    </row>
    <row r="1591" spans="3:8" x14ac:dyDescent="0.25">
      <c r="C1591" s="56"/>
      <c r="D1591" s="60"/>
      <c r="E1591" s="60"/>
      <c r="F1591" s="59"/>
      <c r="G1591" s="59"/>
      <c r="H1591" s="59"/>
    </row>
    <row r="1592" spans="3:8" x14ac:dyDescent="0.25">
      <c r="C1592" s="56"/>
      <c r="D1592" s="60"/>
      <c r="E1592" s="60"/>
      <c r="F1592" s="59"/>
      <c r="G1592" s="59"/>
      <c r="H1592" s="59"/>
    </row>
    <row r="1593" spans="3:8" x14ac:dyDescent="0.25">
      <c r="C1593" s="56"/>
      <c r="D1593" s="60"/>
      <c r="E1593" s="60"/>
      <c r="F1593" s="59"/>
      <c r="G1593" s="59"/>
      <c r="H1593" s="59"/>
    </row>
    <row r="1594" spans="3:8" x14ac:dyDescent="0.25">
      <c r="C1594" s="56"/>
      <c r="D1594" s="60"/>
      <c r="E1594" s="60"/>
      <c r="F1594" s="59"/>
      <c r="G1594" s="59"/>
      <c r="H1594" s="59"/>
    </row>
    <row r="1595" spans="3:8" x14ac:dyDescent="0.25">
      <c r="C1595" s="56"/>
      <c r="D1595" s="60"/>
      <c r="E1595" s="60"/>
      <c r="F1595" s="59"/>
      <c r="G1595" s="59"/>
      <c r="H1595" s="59"/>
    </row>
    <row r="1596" spans="3:8" x14ac:dyDescent="0.25">
      <c r="C1596" s="56"/>
      <c r="D1596" s="60"/>
      <c r="E1596" s="60"/>
      <c r="F1596" s="59"/>
      <c r="G1596" s="59"/>
      <c r="H1596" s="59"/>
    </row>
    <row r="1597" spans="3:8" x14ac:dyDescent="0.25">
      <c r="C1597" s="56"/>
      <c r="D1597" s="60"/>
      <c r="E1597" s="60"/>
      <c r="F1597" s="59"/>
      <c r="G1597" s="59"/>
      <c r="H1597" s="59"/>
    </row>
    <row r="1598" spans="3:8" x14ac:dyDescent="0.25">
      <c r="C1598" s="56"/>
      <c r="D1598" s="60"/>
      <c r="E1598" s="60"/>
      <c r="F1598" s="59"/>
      <c r="G1598" s="59"/>
      <c r="H1598" s="59"/>
    </row>
    <row r="1599" spans="3:8" x14ac:dyDescent="0.25">
      <c r="C1599" s="56"/>
      <c r="D1599" s="60"/>
      <c r="E1599" s="60"/>
      <c r="F1599" s="59"/>
      <c r="G1599" s="59"/>
      <c r="H1599" s="59"/>
    </row>
    <row r="1600" spans="3:8" x14ac:dyDescent="0.25">
      <c r="C1600" s="56"/>
      <c r="D1600" s="60"/>
      <c r="E1600" s="60"/>
      <c r="F1600" s="59"/>
      <c r="G1600" s="59"/>
      <c r="H1600" s="59"/>
    </row>
    <row r="1601" spans="3:8" x14ac:dyDescent="0.25">
      <c r="C1601" s="56"/>
      <c r="D1601" s="60"/>
      <c r="E1601" s="60"/>
      <c r="F1601" s="59"/>
      <c r="G1601" s="59"/>
      <c r="H1601" s="59"/>
    </row>
    <row r="1602" spans="3:8" x14ac:dyDescent="0.25">
      <c r="C1602" s="56"/>
      <c r="D1602" s="60"/>
      <c r="E1602" s="60"/>
      <c r="F1602" s="59"/>
      <c r="G1602" s="59"/>
      <c r="H1602" s="59"/>
    </row>
    <row r="1603" spans="3:8" x14ac:dyDescent="0.25">
      <c r="C1603" s="56"/>
      <c r="D1603" s="60"/>
      <c r="E1603" s="60"/>
      <c r="F1603" s="59"/>
      <c r="G1603" s="59"/>
      <c r="H1603" s="59"/>
    </row>
    <row r="1604" spans="3:8" x14ac:dyDescent="0.25">
      <c r="C1604" s="56"/>
      <c r="D1604" s="60"/>
      <c r="E1604" s="60"/>
      <c r="F1604" s="59"/>
      <c r="G1604" s="59"/>
      <c r="H1604" s="59"/>
    </row>
    <row r="1605" spans="3:8" x14ac:dyDescent="0.25">
      <c r="C1605" s="56"/>
      <c r="D1605" s="60"/>
      <c r="E1605" s="60"/>
      <c r="F1605" s="59"/>
      <c r="G1605" s="59"/>
      <c r="H1605" s="59"/>
    </row>
    <row r="1606" spans="3:8" x14ac:dyDescent="0.25">
      <c r="C1606" s="56"/>
      <c r="D1606" s="60"/>
      <c r="E1606" s="60"/>
      <c r="F1606" s="59"/>
      <c r="G1606" s="59"/>
      <c r="H1606" s="59"/>
    </row>
    <row r="1607" spans="3:8" x14ac:dyDescent="0.25">
      <c r="C1607" s="56"/>
      <c r="D1607" s="60"/>
      <c r="E1607" s="60"/>
      <c r="F1607" s="59"/>
      <c r="G1607" s="59"/>
      <c r="H1607" s="59"/>
    </row>
    <row r="1608" spans="3:8" x14ac:dyDescent="0.25">
      <c r="C1608" s="56"/>
      <c r="D1608" s="60"/>
      <c r="E1608" s="60"/>
      <c r="F1608" s="59"/>
      <c r="G1608" s="59"/>
      <c r="H1608" s="59"/>
    </row>
    <row r="1609" spans="3:8" x14ac:dyDescent="0.25">
      <c r="C1609" s="56"/>
      <c r="D1609" s="60"/>
      <c r="E1609" s="60"/>
      <c r="F1609" s="59"/>
      <c r="G1609" s="59"/>
      <c r="H1609" s="59"/>
    </row>
    <row r="1610" spans="3:8" x14ac:dyDescent="0.25">
      <c r="C1610" s="56"/>
      <c r="D1610" s="60"/>
      <c r="E1610" s="60"/>
      <c r="F1610" s="59"/>
      <c r="G1610" s="59"/>
      <c r="H1610" s="59"/>
    </row>
    <row r="1611" spans="3:8" x14ac:dyDescent="0.25">
      <c r="C1611" s="56"/>
      <c r="D1611" s="60"/>
      <c r="E1611" s="60"/>
      <c r="F1611" s="59"/>
      <c r="G1611" s="59"/>
      <c r="H1611" s="59"/>
    </row>
    <row r="1612" spans="3:8" x14ac:dyDescent="0.25">
      <c r="C1612" s="56"/>
      <c r="D1612" s="60"/>
      <c r="E1612" s="60"/>
      <c r="F1612" s="59"/>
      <c r="G1612" s="59"/>
      <c r="H1612" s="59"/>
    </row>
    <row r="1613" spans="3:8" x14ac:dyDescent="0.25">
      <c r="C1613" s="56"/>
      <c r="D1613" s="60"/>
      <c r="E1613" s="60"/>
      <c r="F1613" s="59"/>
      <c r="G1613" s="59"/>
      <c r="H1613" s="59"/>
    </row>
    <row r="1614" spans="3:8" x14ac:dyDescent="0.25">
      <c r="C1614" s="56"/>
      <c r="D1614" s="60"/>
      <c r="E1614" s="60"/>
      <c r="F1614" s="59"/>
      <c r="G1614" s="59"/>
      <c r="H1614" s="59"/>
    </row>
    <row r="1615" spans="3:8" x14ac:dyDescent="0.25">
      <c r="C1615" s="56"/>
      <c r="D1615" s="60"/>
      <c r="E1615" s="60"/>
      <c r="F1615" s="59"/>
      <c r="G1615" s="59"/>
      <c r="H1615" s="59"/>
    </row>
    <row r="1616" spans="3:8" x14ac:dyDescent="0.25">
      <c r="C1616" s="56"/>
      <c r="D1616" s="60"/>
      <c r="E1616" s="60"/>
      <c r="F1616" s="59"/>
      <c r="G1616" s="59"/>
      <c r="H1616" s="59"/>
    </row>
    <row r="1617" spans="3:8" x14ac:dyDescent="0.25">
      <c r="C1617" s="56"/>
      <c r="D1617" s="60"/>
      <c r="E1617" s="60"/>
      <c r="F1617" s="59"/>
      <c r="G1617" s="59"/>
      <c r="H1617" s="59"/>
    </row>
    <row r="1618" spans="3:8" x14ac:dyDescent="0.25">
      <c r="C1618" s="56"/>
      <c r="D1618" s="60"/>
      <c r="E1618" s="60"/>
      <c r="F1618" s="59"/>
      <c r="G1618" s="59"/>
      <c r="H1618" s="59"/>
    </row>
    <row r="1619" spans="3:8" x14ac:dyDescent="0.25">
      <c r="C1619" s="56"/>
      <c r="D1619" s="60"/>
      <c r="E1619" s="60"/>
      <c r="F1619" s="59"/>
      <c r="G1619" s="59"/>
      <c r="H1619" s="59"/>
    </row>
    <row r="1620" spans="3:8" x14ac:dyDescent="0.25">
      <c r="C1620" s="56"/>
      <c r="D1620" s="60"/>
      <c r="E1620" s="60"/>
      <c r="F1620" s="59"/>
      <c r="G1620" s="59"/>
      <c r="H1620" s="59"/>
    </row>
    <row r="1621" spans="3:8" x14ac:dyDescent="0.25">
      <c r="C1621" s="56"/>
      <c r="D1621" s="60"/>
      <c r="E1621" s="60"/>
      <c r="F1621" s="59"/>
      <c r="G1621" s="59"/>
      <c r="H1621" s="59"/>
    </row>
    <row r="1622" spans="3:8" x14ac:dyDescent="0.25">
      <c r="C1622" s="56"/>
      <c r="D1622" s="60"/>
      <c r="E1622" s="60"/>
      <c r="F1622" s="59"/>
      <c r="G1622" s="59"/>
      <c r="H1622" s="59"/>
    </row>
    <row r="1623" spans="3:8" x14ac:dyDescent="0.25">
      <c r="C1623" s="56"/>
      <c r="D1623" s="60"/>
      <c r="E1623" s="60"/>
      <c r="F1623" s="59"/>
      <c r="G1623" s="59"/>
      <c r="H1623" s="59"/>
    </row>
    <row r="1624" spans="3:8" x14ac:dyDescent="0.25">
      <c r="C1624" s="56"/>
      <c r="D1624" s="60"/>
      <c r="E1624" s="60"/>
      <c r="F1624" s="59"/>
      <c r="G1624" s="59"/>
      <c r="H1624" s="59"/>
    </row>
    <row r="1625" spans="3:8" x14ac:dyDescent="0.25">
      <c r="C1625" s="56"/>
      <c r="D1625" s="60"/>
      <c r="E1625" s="60"/>
      <c r="F1625" s="59"/>
      <c r="G1625" s="59"/>
      <c r="H1625" s="59"/>
    </row>
    <row r="1626" spans="3:8" x14ac:dyDescent="0.25">
      <c r="C1626" s="56"/>
      <c r="D1626" s="60"/>
      <c r="E1626" s="60"/>
      <c r="F1626" s="59"/>
      <c r="G1626" s="59"/>
      <c r="H1626" s="59"/>
    </row>
    <row r="1627" spans="3:8" x14ac:dyDescent="0.25">
      <c r="C1627" s="56"/>
      <c r="D1627" s="60"/>
      <c r="E1627" s="60"/>
      <c r="F1627" s="59"/>
      <c r="G1627" s="59"/>
      <c r="H1627" s="59"/>
    </row>
    <row r="1628" spans="3:8" x14ac:dyDescent="0.25">
      <c r="C1628" s="56"/>
      <c r="D1628" s="60"/>
      <c r="E1628" s="60"/>
      <c r="F1628" s="59"/>
      <c r="G1628" s="59"/>
      <c r="H1628" s="59"/>
    </row>
    <row r="1629" spans="3:8" x14ac:dyDescent="0.25">
      <c r="C1629" s="56"/>
      <c r="D1629" s="60"/>
      <c r="E1629" s="60"/>
      <c r="F1629" s="59"/>
      <c r="G1629" s="59"/>
      <c r="H1629" s="59"/>
    </row>
    <row r="1630" spans="3:8" x14ac:dyDescent="0.25">
      <c r="C1630" s="56"/>
      <c r="D1630" s="60"/>
      <c r="E1630" s="60"/>
      <c r="F1630" s="59"/>
      <c r="G1630" s="59"/>
      <c r="H1630" s="59"/>
    </row>
    <row r="1631" spans="3:8" x14ac:dyDescent="0.25">
      <c r="C1631" s="56"/>
      <c r="D1631" s="60"/>
      <c r="E1631" s="60"/>
      <c r="F1631" s="59"/>
      <c r="G1631" s="59"/>
      <c r="H1631" s="59"/>
    </row>
    <row r="1632" spans="3:8" x14ac:dyDescent="0.25">
      <c r="C1632" s="56"/>
      <c r="D1632" s="60"/>
      <c r="E1632" s="60"/>
      <c r="F1632" s="59"/>
      <c r="G1632" s="59"/>
      <c r="H1632" s="59"/>
    </row>
    <row r="1633" spans="3:8" x14ac:dyDescent="0.25">
      <c r="C1633" s="56"/>
      <c r="D1633" s="60"/>
      <c r="E1633" s="60"/>
      <c r="F1633" s="59"/>
      <c r="G1633" s="59"/>
      <c r="H1633" s="59"/>
    </row>
    <row r="1634" spans="3:8" x14ac:dyDescent="0.25">
      <c r="C1634" s="56"/>
      <c r="D1634" s="60"/>
      <c r="E1634" s="60"/>
      <c r="F1634" s="59"/>
      <c r="G1634" s="59"/>
      <c r="H1634" s="59"/>
    </row>
    <row r="1635" spans="3:8" x14ac:dyDescent="0.25">
      <c r="C1635" s="56"/>
      <c r="D1635" s="60"/>
      <c r="E1635" s="60"/>
      <c r="F1635" s="59"/>
      <c r="G1635" s="59"/>
      <c r="H1635" s="59"/>
    </row>
    <row r="1636" spans="3:8" x14ac:dyDescent="0.25">
      <c r="C1636" s="56"/>
      <c r="D1636" s="60"/>
      <c r="E1636" s="60"/>
      <c r="F1636" s="59"/>
      <c r="G1636" s="59"/>
      <c r="H1636" s="59"/>
    </row>
    <row r="1637" spans="3:8" x14ac:dyDescent="0.25">
      <c r="C1637" s="56"/>
      <c r="D1637" s="60"/>
      <c r="E1637" s="60"/>
      <c r="F1637" s="59"/>
      <c r="G1637" s="59"/>
      <c r="H1637" s="59"/>
    </row>
    <row r="1638" spans="3:8" x14ac:dyDescent="0.25">
      <c r="C1638" s="56"/>
      <c r="D1638" s="60"/>
      <c r="E1638" s="60"/>
      <c r="F1638" s="59"/>
      <c r="G1638" s="59"/>
      <c r="H1638" s="59"/>
    </row>
    <row r="1639" spans="3:8" x14ac:dyDescent="0.25">
      <c r="C1639" s="56"/>
      <c r="D1639" s="60"/>
      <c r="E1639" s="60"/>
      <c r="F1639" s="59"/>
      <c r="G1639" s="59"/>
      <c r="H1639" s="59"/>
    </row>
    <row r="1640" spans="3:8" x14ac:dyDescent="0.25">
      <c r="C1640" s="56"/>
      <c r="D1640" s="60"/>
      <c r="E1640" s="60"/>
      <c r="F1640" s="59"/>
      <c r="G1640" s="59"/>
      <c r="H1640" s="59"/>
    </row>
    <row r="1641" spans="3:8" x14ac:dyDescent="0.25">
      <c r="C1641" s="56"/>
      <c r="D1641" s="60"/>
      <c r="E1641" s="60"/>
      <c r="F1641" s="59"/>
      <c r="G1641" s="59"/>
      <c r="H1641" s="59"/>
    </row>
    <row r="1642" spans="3:8" x14ac:dyDescent="0.25">
      <c r="C1642" s="56"/>
      <c r="D1642" s="60"/>
      <c r="E1642" s="60"/>
      <c r="F1642" s="59"/>
      <c r="G1642" s="59"/>
      <c r="H1642" s="59"/>
    </row>
    <row r="1643" spans="3:8" x14ac:dyDescent="0.25">
      <c r="C1643" s="56"/>
      <c r="D1643" s="60"/>
      <c r="E1643" s="60"/>
      <c r="F1643" s="59"/>
      <c r="G1643" s="59"/>
      <c r="H1643" s="59"/>
    </row>
    <row r="1644" spans="3:8" x14ac:dyDescent="0.25">
      <c r="C1644" s="56"/>
      <c r="D1644" s="60"/>
      <c r="E1644" s="60"/>
      <c r="F1644" s="59"/>
      <c r="G1644" s="59"/>
      <c r="H1644" s="59"/>
    </row>
    <row r="1645" spans="3:8" x14ac:dyDescent="0.25">
      <c r="C1645" s="56"/>
      <c r="D1645" s="60"/>
      <c r="E1645" s="60"/>
      <c r="F1645" s="59"/>
      <c r="G1645" s="59"/>
      <c r="H1645" s="59"/>
    </row>
    <row r="1646" spans="3:8" x14ac:dyDescent="0.25">
      <c r="C1646" s="56"/>
      <c r="D1646" s="60"/>
      <c r="E1646" s="60"/>
      <c r="F1646" s="59"/>
      <c r="G1646" s="59"/>
      <c r="H1646" s="59"/>
    </row>
    <row r="1647" spans="3:8" x14ac:dyDescent="0.25">
      <c r="C1647" s="56"/>
      <c r="D1647" s="60"/>
      <c r="E1647" s="60"/>
      <c r="F1647" s="59"/>
      <c r="G1647" s="59"/>
      <c r="H1647" s="59"/>
    </row>
    <row r="1648" spans="3:8" x14ac:dyDescent="0.25">
      <c r="C1648" s="56"/>
      <c r="D1648" s="60"/>
      <c r="E1648" s="60"/>
      <c r="F1648" s="59"/>
      <c r="G1648" s="59"/>
      <c r="H1648" s="59"/>
    </row>
    <row r="1649" spans="3:8" x14ac:dyDescent="0.25">
      <c r="C1649" s="56"/>
      <c r="D1649" s="60"/>
      <c r="E1649" s="60"/>
      <c r="F1649" s="59"/>
      <c r="G1649" s="59"/>
      <c r="H1649" s="59"/>
    </row>
    <row r="1650" spans="3:8" x14ac:dyDescent="0.25">
      <c r="C1650" s="56"/>
      <c r="D1650" s="60"/>
      <c r="E1650" s="60"/>
      <c r="F1650" s="59"/>
      <c r="G1650" s="59"/>
      <c r="H1650" s="59"/>
    </row>
    <row r="1651" spans="3:8" x14ac:dyDescent="0.25">
      <c r="C1651" s="56"/>
      <c r="D1651" s="60"/>
      <c r="E1651" s="60"/>
      <c r="F1651" s="59"/>
      <c r="G1651" s="59"/>
      <c r="H1651" s="59"/>
    </row>
    <row r="1652" spans="3:8" x14ac:dyDescent="0.25">
      <c r="C1652" s="56"/>
      <c r="D1652" s="60"/>
      <c r="E1652" s="60"/>
      <c r="F1652" s="59"/>
      <c r="G1652" s="59"/>
      <c r="H1652" s="59"/>
    </row>
    <row r="1653" spans="3:8" x14ac:dyDescent="0.25">
      <c r="C1653" s="56"/>
      <c r="D1653" s="60"/>
      <c r="E1653" s="60"/>
      <c r="F1653" s="59"/>
      <c r="G1653" s="59"/>
      <c r="H1653" s="59"/>
    </row>
    <row r="1654" spans="3:8" x14ac:dyDescent="0.25">
      <c r="C1654" s="56"/>
      <c r="D1654" s="60"/>
      <c r="E1654" s="60"/>
      <c r="F1654" s="59"/>
      <c r="G1654" s="59"/>
      <c r="H1654" s="59"/>
    </row>
    <row r="1655" spans="3:8" x14ac:dyDescent="0.25">
      <c r="C1655" s="56"/>
      <c r="D1655" s="60"/>
      <c r="E1655" s="60"/>
      <c r="F1655" s="59"/>
      <c r="G1655" s="59"/>
      <c r="H1655" s="59"/>
    </row>
    <row r="1656" spans="3:8" x14ac:dyDescent="0.25">
      <c r="C1656" s="56"/>
      <c r="D1656" s="60"/>
      <c r="E1656" s="60"/>
      <c r="F1656" s="59"/>
      <c r="G1656" s="59"/>
      <c r="H1656" s="59"/>
    </row>
    <row r="1657" spans="3:8" x14ac:dyDescent="0.25">
      <c r="C1657" s="56"/>
      <c r="D1657" s="60"/>
      <c r="E1657" s="60"/>
      <c r="F1657" s="59"/>
      <c r="G1657" s="59"/>
      <c r="H1657" s="59"/>
    </row>
    <row r="1658" spans="3:8" x14ac:dyDescent="0.25">
      <c r="C1658" s="56"/>
      <c r="D1658" s="60"/>
      <c r="E1658" s="60"/>
      <c r="F1658" s="59"/>
      <c r="G1658" s="59"/>
      <c r="H1658" s="59"/>
    </row>
    <row r="1659" spans="3:8" x14ac:dyDescent="0.25">
      <c r="C1659" s="56"/>
      <c r="D1659" s="60"/>
      <c r="E1659" s="60"/>
      <c r="F1659" s="59"/>
      <c r="G1659" s="59"/>
      <c r="H1659" s="59"/>
    </row>
    <row r="1660" spans="3:8" x14ac:dyDescent="0.25">
      <c r="C1660" s="56"/>
      <c r="D1660" s="60"/>
      <c r="E1660" s="60"/>
      <c r="F1660" s="59"/>
      <c r="G1660" s="59"/>
      <c r="H1660" s="59"/>
    </row>
    <row r="1661" spans="3:8" x14ac:dyDescent="0.25">
      <c r="C1661" s="56"/>
      <c r="D1661" s="60"/>
      <c r="E1661" s="60"/>
      <c r="F1661" s="59"/>
      <c r="G1661" s="59"/>
      <c r="H1661" s="59"/>
    </row>
    <row r="1662" spans="3:8" x14ac:dyDescent="0.25">
      <c r="C1662" s="56"/>
      <c r="D1662" s="60"/>
      <c r="E1662" s="60"/>
      <c r="F1662" s="59"/>
      <c r="G1662" s="59"/>
      <c r="H1662" s="59"/>
    </row>
    <row r="1663" spans="3:8" x14ac:dyDescent="0.25">
      <c r="C1663" s="56"/>
      <c r="D1663" s="60"/>
      <c r="E1663" s="60"/>
      <c r="F1663" s="59"/>
      <c r="G1663" s="59"/>
      <c r="H1663" s="59"/>
    </row>
    <row r="1664" spans="3:8" x14ac:dyDescent="0.25">
      <c r="C1664" s="56"/>
      <c r="D1664" s="60"/>
      <c r="E1664" s="60"/>
      <c r="F1664" s="59"/>
      <c r="G1664" s="59"/>
      <c r="H1664" s="59"/>
    </row>
    <row r="1665" spans="3:8" x14ac:dyDescent="0.25">
      <c r="C1665" s="56"/>
      <c r="D1665" s="60"/>
      <c r="E1665" s="60"/>
      <c r="F1665" s="59"/>
      <c r="G1665" s="59"/>
      <c r="H1665" s="59"/>
    </row>
    <row r="1666" spans="3:8" x14ac:dyDescent="0.25">
      <c r="C1666" s="56"/>
      <c r="D1666" s="60"/>
      <c r="E1666" s="60"/>
      <c r="F1666" s="59"/>
      <c r="G1666" s="59"/>
      <c r="H1666" s="59"/>
    </row>
    <row r="1667" spans="3:8" x14ac:dyDescent="0.25">
      <c r="C1667" s="56"/>
      <c r="D1667" s="60"/>
      <c r="E1667" s="60"/>
      <c r="F1667" s="59"/>
      <c r="G1667" s="59"/>
      <c r="H1667" s="59"/>
    </row>
    <row r="1668" spans="3:8" x14ac:dyDescent="0.25">
      <c r="C1668" s="56"/>
      <c r="D1668" s="60"/>
      <c r="E1668" s="60"/>
      <c r="F1668" s="59"/>
      <c r="G1668" s="59"/>
      <c r="H1668" s="59"/>
    </row>
    <row r="1669" spans="3:8" x14ac:dyDescent="0.25">
      <c r="C1669" s="56"/>
      <c r="D1669" s="60"/>
      <c r="E1669" s="60"/>
      <c r="F1669" s="59"/>
      <c r="G1669" s="59"/>
      <c r="H1669" s="59"/>
    </row>
    <row r="1670" spans="3:8" x14ac:dyDescent="0.25">
      <c r="C1670" s="56"/>
      <c r="D1670" s="60"/>
      <c r="E1670" s="60"/>
      <c r="F1670" s="59"/>
      <c r="G1670" s="59"/>
      <c r="H1670" s="59"/>
    </row>
    <row r="1671" spans="3:8" x14ac:dyDescent="0.25">
      <c r="C1671" s="56"/>
      <c r="D1671" s="60"/>
      <c r="E1671" s="60"/>
      <c r="F1671" s="59"/>
      <c r="G1671" s="59"/>
      <c r="H1671" s="59"/>
    </row>
    <row r="1672" spans="3:8" x14ac:dyDescent="0.25">
      <c r="C1672" s="56"/>
      <c r="D1672" s="60"/>
      <c r="E1672" s="60"/>
      <c r="F1672" s="59"/>
      <c r="G1672" s="59"/>
      <c r="H1672" s="59"/>
    </row>
    <row r="1673" spans="3:8" x14ac:dyDescent="0.25">
      <c r="C1673" s="56"/>
      <c r="D1673" s="60"/>
      <c r="E1673" s="60"/>
      <c r="F1673" s="59"/>
      <c r="G1673" s="59"/>
      <c r="H1673" s="59"/>
    </row>
    <row r="1674" spans="3:8" x14ac:dyDescent="0.25">
      <c r="C1674" s="56"/>
      <c r="D1674" s="60"/>
      <c r="E1674" s="60"/>
      <c r="F1674" s="59"/>
      <c r="G1674" s="59"/>
      <c r="H1674" s="59"/>
    </row>
    <row r="1675" spans="3:8" x14ac:dyDescent="0.25">
      <c r="C1675" s="56"/>
      <c r="D1675" s="60"/>
      <c r="E1675" s="60"/>
      <c r="F1675" s="59"/>
      <c r="G1675" s="59"/>
      <c r="H1675" s="59"/>
    </row>
    <row r="1676" spans="3:8" x14ac:dyDescent="0.25">
      <c r="C1676" s="56"/>
      <c r="D1676" s="60"/>
      <c r="E1676" s="60"/>
      <c r="F1676" s="59"/>
      <c r="G1676" s="59"/>
      <c r="H1676" s="59"/>
    </row>
    <row r="1677" spans="3:8" x14ac:dyDescent="0.25">
      <c r="C1677" s="56"/>
      <c r="D1677" s="60"/>
      <c r="E1677" s="60"/>
      <c r="F1677" s="59"/>
      <c r="G1677" s="59"/>
      <c r="H1677" s="59"/>
    </row>
    <row r="1678" spans="3:8" x14ac:dyDescent="0.25">
      <c r="C1678" s="56"/>
      <c r="D1678" s="60"/>
      <c r="E1678" s="60"/>
      <c r="F1678" s="59"/>
      <c r="G1678" s="59"/>
      <c r="H1678" s="59"/>
    </row>
    <row r="1679" spans="3:8" x14ac:dyDescent="0.25">
      <c r="C1679" s="56"/>
      <c r="D1679" s="60"/>
      <c r="E1679" s="60"/>
      <c r="F1679" s="59"/>
      <c r="G1679" s="59"/>
      <c r="H1679" s="59"/>
    </row>
    <row r="1680" spans="3:8" x14ac:dyDescent="0.25">
      <c r="C1680" s="56"/>
      <c r="D1680" s="60"/>
      <c r="E1680" s="60"/>
      <c r="F1680" s="59"/>
      <c r="G1680" s="59"/>
      <c r="H1680" s="59"/>
    </row>
    <row r="1681" spans="3:8" x14ac:dyDescent="0.25">
      <c r="C1681" s="56"/>
      <c r="D1681" s="60"/>
      <c r="E1681" s="60"/>
      <c r="F1681" s="59"/>
      <c r="G1681" s="59"/>
      <c r="H1681" s="59"/>
    </row>
    <row r="1682" spans="3:8" x14ac:dyDescent="0.25">
      <c r="C1682" s="56"/>
      <c r="D1682" s="60"/>
      <c r="E1682" s="60"/>
      <c r="F1682" s="59"/>
      <c r="G1682" s="59"/>
      <c r="H1682" s="59"/>
    </row>
    <row r="1683" spans="3:8" x14ac:dyDescent="0.25">
      <c r="C1683" s="56"/>
      <c r="D1683" s="60"/>
      <c r="E1683" s="60"/>
      <c r="F1683" s="59"/>
      <c r="G1683" s="59"/>
      <c r="H1683" s="59"/>
    </row>
    <row r="1684" spans="3:8" x14ac:dyDescent="0.25">
      <c r="C1684" s="56"/>
      <c r="D1684" s="60"/>
      <c r="E1684" s="60"/>
      <c r="F1684" s="59"/>
      <c r="G1684" s="59"/>
      <c r="H1684" s="59"/>
    </row>
    <row r="1685" spans="3:8" x14ac:dyDescent="0.25">
      <c r="C1685" s="56"/>
      <c r="D1685" s="60"/>
      <c r="E1685" s="60"/>
      <c r="F1685" s="59"/>
      <c r="G1685" s="59"/>
      <c r="H1685" s="59"/>
    </row>
    <row r="1686" spans="3:8" x14ac:dyDescent="0.25">
      <c r="C1686" s="56"/>
      <c r="D1686" s="60"/>
      <c r="E1686" s="60"/>
      <c r="F1686" s="59"/>
      <c r="G1686" s="59"/>
      <c r="H1686" s="59"/>
    </row>
    <row r="1687" spans="3:8" x14ac:dyDescent="0.25">
      <c r="C1687" s="56"/>
      <c r="D1687" s="60"/>
      <c r="E1687" s="60"/>
      <c r="F1687" s="59"/>
      <c r="G1687" s="59"/>
      <c r="H1687" s="59"/>
    </row>
    <row r="1688" spans="3:8" x14ac:dyDescent="0.25">
      <c r="C1688" s="56"/>
      <c r="D1688" s="60"/>
      <c r="E1688" s="60"/>
      <c r="F1688" s="59"/>
      <c r="G1688" s="59"/>
      <c r="H1688" s="59"/>
    </row>
    <row r="1689" spans="3:8" x14ac:dyDescent="0.25">
      <c r="C1689" s="56"/>
      <c r="D1689" s="60"/>
      <c r="E1689" s="60"/>
      <c r="F1689" s="59"/>
      <c r="G1689" s="59"/>
      <c r="H1689" s="59"/>
    </row>
    <row r="1690" spans="3:8" x14ac:dyDescent="0.25">
      <c r="C1690" s="56"/>
      <c r="D1690" s="60"/>
      <c r="E1690" s="60"/>
      <c r="F1690" s="59"/>
      <c r="G1690" s="59"/>
      <c r="H1690" s="59"/>
    </row>
    <row r="1691" spans="3:8" x14ac:dyDescent="0.25">
      <c r="C1691" s="56"/>
      <c r="D1691" s="60"/>
      <c r="E1691" s="60"/>
      <c r="F1691" s="59"/>
      <c r="G1691" s="59"/>
      <c r="H1691" s="59"/>
    </row>
    <row r="1692" spans="3:8" x14ac:dyDescent="0.25">
      <c r="C1692" s="56"/>
      <c r="D1692" s="60"/>
      <c r="E1692" s="60"/>
      <c r="F1692" s="59"/>
      <c r="G1692" s="59"/>
      <c r="H1692" s="59"/>
    </row>
    <row r="1693" spans="3:8" x14ac:dyDescent="0.25">
      <c r="C1693" s="56"/>
      <c r="D1693" s="60"/>
      <c r="E1693" s="60"/>
      <c r="F1693" s="59"/>
      <c r="G1693" s="59"/>
      <c r="H1693" s="59"/>
    </row>
    <row r="1694" spans="3:8" x14ac:dyDescent="0.25">
      <c r="C1694" s="56"/>
      <c r="D1694" s="60"/>
      <c r="E1694" s="60"/>
      <c r="F1694" s="59"/>
      <c r="G1694" s="59"/>
      <c r="H1694" s="59"/>
    </row>
    <row r="1695" spans="3:8" x14ac:dyDescent="0.25">
      <c r="C1695" s="56"/>
      <c r="D1695" s="60"/>
      <c r="E1695" s="60"/>
      <c r="F1695" s="59"/>
      <c r="G1695" s="59"/>
      <c r="H1695" s="59"/>
    </row>
    <row r="1696" spans="3:8" x14ac:dyDescent="0.25">
      <c r="C1696" s="56"/>
      <c r="D1696" s="60"/>
      <c r="E1696" s="60"/>
      <c r="F1696" s="59"/>
      <c r="G1696" s="59"/>
      <c r="H1696" s="59"/>
    </row>
    <row r="1697" spans="3:8" x14ac:dyDescent="0.25">
      <c r="C1697" s="56"/>
      <c r="D1697" s="60"/>
      <c r="E1697" s="60"/>
      <c r="F1697" s="59"/>
      <c r="G1697" s="59"/>
      <c r="H1697" s="59"/>
    </row>
    <row r="1698" spans="3:8" x14ac:dyDescent="0.25">
      <c r="C1698" s="56"/>
      <c r="D1698" s="60"/>
      <c r="E1698" s="60"/>
      <c r="F1698" s="59"/>
      <c r="G1698" s="59"/>
      <c r="H1698" s="59"/>
    </row>
    <row r="1699" spans="3:8" x14ac:dyDescent="0.25">
      <c r="C1699" s="56"/>
      <c r="D1699" s="60"/>
      <c r="E1699" s="60"/>
      <c r="F1699" s="59"/>
      <c r="G1699" s="59"/>
      <c r="H1699" s="59"/>
    </row>
    <row r="1700" spans="3:8" x14ac:dyDescent="0.25">
      <c r="C1700" s="56"/>
      <c r="D1700" s="60"/>
      <c r="E1700" s="60"/>
      <c r="F1700" s="59"/>
      <c r="G1700" s="59"/>
      <c r="H1700" s="59"/>
    </row>
    <row r="1701" spans="3:8" x14ac:dyDescent="0.25">
      <c r="C1701" s="56"/>
      <c r="D1701" s="60"/>
      <c r="E1701" s="60"/>
      <c r="F1701" s="59"/>
      <c r="G1701" s="59"/>
      <c r="H1701" s="59"/>
    </row>
    <row r="1702" spans="3:8" x14ac:dyDescent="0.25">
      <c r="C1702" s="56"/>
      <c r="D1702" s="60"/>
      <c r="E1702" s="60"/>
      <c r="F1702" s="59"/>
      <c r="G1702" s="59"/>
      <c r="H1702" s="59"/>
    </row>
    <row r="1703" spans="3:8" x14ac:dyDescent="0.25">
      <c r="C1703" s="56"/>
      <c r="D1703" s="60"/>
      <c r="E1703" s="60"/>
      <c r="F1703" s="59"/>
      <c r="G1703" s="59"/>
      <c r="H1703" s="59"/>
    </row>
    <row r="1704" spans="3:8" x14ac:dyDescent="0.25">
      <c r="C1704" s="56"/>
      <c r="D1704" s="60"/>
      <c r="E1704" s="60"/>
      <c r="F1704" s="59"/>
      <c r="G1704" s="59"/>
      <c r="H1704" s="59"/>
    </row>
    <row r="1705" spans="3:8" x14ac:dyDescent="0.25">
      <c r="C1705" s="56"/>
      <c r="D1705" s="60"/>
      <c r="E1705" s="60"/>
      <c r="F1705" s="59"/>
      <c r="G1705" s="59"/>
      <c r="H1705" s="59"/>
    </row>
    <row r="1706" spans="3:8" x14ac:dyDescent="0.25">
      <c r="C1706" s="56"/>
      <c r="D1706" s="60"/>
      <c r="E1706" s="60"/>
      <c r="F1706" s="59"/>
      <c r="G1706" s="59"/>
      <c r="H1706" s="59"/>
    </row>
    <row r="1707" spans="3:8" x14ac:dyDescent="0.25">
      <c r="C1707" s="56"/>
      <c r="D1707" s="60"/>
      <c r="E1707" s="60"/>
      <c r="F1707" s="59"/>
      <c r="G1707" s="59"/>
      <c r="H1707" s="59"/>
    </row>
    <row r="1708" spans="3:8" x14ac:dyDescent="0.25">
      <c r="C1708" s="56"/>
      <c r="D1708" s="60"/>
      <c r="E1708" s="60"/>
      <c r="F1708" s="59"/>
      <c r="G1708" s="59"/>
      <c r="H1708" s="59"/>
    </row>
    <row r="1709" spans="3:8" x14ac:dyDescent="0.25">
      <c r="C1709" s="56"/>
      <c r="D1709" s="60"/>
      <c r="E1709" s="60"/>
      <c r="F1709" s="59"/>
      <c r="G1709" s="59"/>
      <c r="H1709" s="59"/>
    </row>
    <row r="1710" spans="3:8" x14ac:dyDescent="0.25">
      <c r="C1710" s="56"/>
      <c r="D1710" s="60"/>
      <c r="E1710" s="60"/>
      <c r="F1710" s="59"/>
      <c r="G1710" s="59"/>
      <c r="H1710" s="59"/>
    </row>
    <row r="1711" spans="3:8" x14ac:dyDescent="0.25">
      <c r="C1711" s="56"/>
      <c r="D1711" s="60"/>
      <c r="E1711" s="60"/>
      <c r="F1711" s="59"/>
      <c r="G1711" s="59"/>
      <c r="H1711" s="59"/>
    </row>
    <row r="1712" spans="3:8" x14ac:dyDescent="0.25">
      <c r="C1712" s="56"/>
      <c r="D1712" s="60"/>
      <c r="E1712" s="60"/>
      <c r="F1712" s="59"/>
      <c r="G1712" s="59"/>
      <c r="H1712" s="59"/>
    </row>
    <row r="1713" spans="3:8" x14ac:dyDescent="0.25">
      <c r="C1713" s="56"/>
      <c r="D1713" s="60"/>
      <c r="E1713" s="60"/>
      <c r="F1713" s="59"/>
      <c r="G1713" s="59"/>
      <c r="H1713" s="59"/>
    </row>
    <row r="1714" spans="3:8" x14ac:dyDescent="0.25">
      <c r="C1714" s="56"/>
      <c r="D1714" s="60"/>
      <c r="E1714" s="60"/>
      <c r="F1714" s="59"/>
      <c r="G1714" s="59"/>
      <c r="H1714" s="59"/>
    </row>
    <row r="1715" spans="3:8" x14ac:dyDescent="0.25">
      <c r="C1715" s="56"/>
      <c r="D1715" s="60"/>
      <c r="E1715" s="60"/>
      <c r="F1715" s="59"/>
      <c r="G1715" s="59"/>
      <c r="H1715" s="59"/>
    </row>
    <row r="1716" spans="3:8" x14ac:dyDescent="0.25">
      <c r="C1716" s="56"/>
      <c r="D1716" s="60"/>
      <c r="E1716" s="60"/>
      <c r="F1716" s="59"/>
      <c r="G1716" s="59"/>
      <c r="H1716" s="59"/>
    </row>
    <row r="1717" spans="3:8" x14ac:dyDescent="0.25">
      <c r="C1717" s="56"/>
      <c r="D1717" s="60"/>
      <c r="E1717" s="60"/>
      <c r="F1717" s="59"/>
      <c r="G1717" s="59"/>
      <c r="H1717" s="59"/>
    </row>
    <row r="1718" spans="3:8" x14ac:dyDescent="0.25">
      <c r="C1718" s="56"/>
      <c r="D1718" s="60"/>
      <c r="E1718" s="60"/>
      <c r="F1718" s="59"/>
      <c r="G1718" s="59"/>
      <c r="H1718" s="59"/>
    </row>
    <row r="1719" spans="3:8" x14ac:dyDescent="0.25">
      <c r="C1719" s="56"/>
      <c r="D1719" s="60"/>
      <c r="E1719" s="60"/>
      <c r="F1719" s="59"/>
      <c r="G1719" s="59"/>
      <c r="H1719" s="59"/>
    </row>
    <row r="1720" spans="3:8" x14ac:dyDescent="0.25">
      <c r="C1720" s="56"/>
      <c r="D1720" s="60"/>
      <c r="E1720" s="60"/>
      <c r="F1720" s="59"/>
      <c r="G1720" s="59"/>
      <c r="H1720" s="59"/>
    </row>
    <row r="1721" spans="3:8" x14ac:dyDescent="0.25">
      <c r="C1721" s="56"/>
      <c r="D1721" s="60"/>
      <c r="E1721" s="60"/>
      <c r="F1721" s="59"/>
      <c r="G1721" s="59"/>
      <c r="H1721" s="59"/>
    </row>
    <row r="1722" spans="3:8" x14ac:dyDescent="0.25">
      <c r="C1722" s="56"/>
      <c r="D1722" s="60"/>
      <c r="E1722" s="60"/>
      <c r="F1722" s="59"/>
      <c r="G1722" s="59"/>
      <c r="H1722" s="59"/>
    </row>
    <row r="1723" spans="3:8" x14ac:dyDescent="0.25">
      <c r="C1723" s="56"/>
      <c r="D1723" s="60"/>
      <c r="E1723" s="60"/>
      <c r="F1723" s="59"/>
      <c r="G1723" s="59"/>
      <c r="H1723" s="59"/>
    </row>
    <row r="1724" spans="3:8" x14ac:dyDescent="0.25">
      <c r="C1724" s="56"/>
      <c r="D1724" s="60"/>
      <c r="E1724" s="60"/>
      <c r="F1724" s="59"/>
      <c r="G1724" s="59"/>
      <c r="H1724" s="59"/>
    </row>
    <row r="1725" spans="3:8" x14ac:dyDescent="0.25">
      <c r="C1725" s="56"/>
      <c r="D1725" s="60"/>
      <c r="E1725" s="60"/>
      <c r="F1725" s="59"/>
      <c r="G1725" s="59"/>
      <c r="H1725" s="59"/>
    </row>
    <row r="1726" spans="3:8" x14ac:dyDescent="0.25">
      <c r="C1726" s="56"/>
      <c r="D1726" s="60"/>
      <c r="E1726" s="60"/>
      <c r="F1726" s="59"/>
      <c r="G1726" s="59"/>
      <c r="H1726" s="59"/>
    </row>
    <row r="1727" spans="3:8" x14ac:dyDescent="0.25">
      <c r="C1727" s="56"/>
      <c r="D1727" s="60"/>
      <c r="E1727" s="60"/>
      <c r="F1727" s="59"/>
      <c r="G1727" s="59"/>
      <c r="H1727" s="59"/>
    </row>
    <row r="1728" spans="3:8" x14ac:dyDescent="0.25">
      <c r="C1728" s="56"/>
      <c r="D1728" s="60"/>
      <c r="E1728" s="60"/>
      <c r="F1728" s="59"/>
      <c r="G1728" s="59"/>
      <c r="H1728" s="59"/>
    </row>
    <row r="1729" spans="3:8" x14ac:dyDescent="0.25">
      <c r="C1729" s="56"/>
      <c r="D1729" s="60"/>
      <c r="E1729" s="60"/>
      <c r="F1729" s="59"/>
      <c r="G1729" s="59"/>
      <c r="H1729" s="59"/>
    </row>
    <row r="1730" spans="3:8" x14ac:dyDescent="0.25">
      <c r="C1730" s="56"/>
      <c r="D1730" s="60"/>
      <c r="E1730" s="60"/>
      <c r="F1730" s="59"/>
      <c r="G1730" s="59"/>
      <c r="H1730" s="59"/>
    </row>
    <row r="1731" spans="3:8" x14ac:dyDescent="0.25">
      <c r="C1731" s="56"/>
      <c r="D1731" s="60"/>
      <c r="E1731" s="60"/>
      <c r="F1731" s="59"/>
      <c r="G1731" s="59"/>
      <c r="H1731" s="59"/>
    </row>
    <row r="1732" spans="3:8" x14ac:dyDescent="0.25">
      <c r="C1732" s="56"/>
      <c r="D1732" s="60"/>
      <c r="E1732" s="60"/>
      <c r="F1732" s="59"/>
      <c r="G1732" s="59"/>
      <c r="H1732" s="59"/>
    </row>
    <row r="1733" spans="3:8" x14ac:dyDescent="0.25">
      <c r="C1733" s="56"/>
      <c r="D1733" s="60"/>
      <c r="E1733" s="60"/>
      <c r="F1733" s="59"/>
      <c r="G1733" s="59"/>
      <c r="H1733" s="59"/>
    </row>
    <row r="1734" spans="3:8" x14ac:dyDescent="0.25">
      <c r="C1734" s="56"/>
      <c r="D1734" s="60"/>
      <c r="E1734" s="60"/>
      <c r="F1734" s="59"/>
      <c r="G1734" s="59"/>
      <c r="H1734" s="59"/>
    </row>
    <row r="1735" spans="3:8" x14ac:dyDescent="0.25">
      <c r="C1735" s="56"/>
      <c r="D1735" s="60"/>
      <c r="E1735" s="60"/>
      <c r="F1735" s="59"/>
      <c r="G1735" s="59"/>
      <c r="H1735" s="59"/>
    </row>
    <row r="1736" spans="3:8" x14ac:dyDescent="0.25">
      <c r="C1736" s="56"/>
      <c r="D1736" s="60"/>
      <c r="E1736" s="60"/>
      <c r="F1736" s="59"/>
      <c r="G1736" s="59"/>
      <c r="H1736" s="59"/>
    </row>
    <row r="1737" spans="3:8" x14ac:dyDescent="0.25">
      <c r="C1737" s="56"/>
      <c r="D1737" s="60"/>
      <c r="E1737" s="60"/>
      <c r="F1737" s="59"/>
      <c r="G1737" s="59"/>
      <c r="H1737" s="59"/>
    </row>
    <row r="1738" spans="3:8" x14ac:dyDescent="0.25">
      <c r="C1738" s="56"/>
      <c r="D1738" s="60"/>
      <c r="E1738" s="60"/>
      <c r="F1738" s="59"/>
      <c r="G1738" s="59"/>
      <c r="H1738" s="59"/>
    </row>
    <row r="1739" spans="3:8" x14ac:dyDescent="0.25">
      <c r="C1739" s="56"/>
      <c r="D1739" s="60"/>
      <c r="E1739" s="60"/>
      <c r="F1739" s="59"/>
      <c r="G1739" s="59"/>
      <c r="H1739" s="59"/>
    </row>
    <row r="1740" spans="3:8" x14ac:dyDescent="0.25">
      <c r="C1740" s="56"/>
      <c r="D1740" s="60"/>
      <c r="E1740" s="60"/>
      <c r="F1740" s="59"/>
      <c r="G1740" s="59"/>
      <c r="H1740" s="59"/>
    </row>
    <row r="1741" spans="3:8" x14ac:dyDescent="0.25">
      <c r="C1741" s="56"/>
      <c r="D1741" s="60"/>
      <c r="E1741" s="60"/>
      <c r="F1741" s="59"/>
      <c r="G1741" s="59"/>
      <c r="H1741" s="59"/>
    </row>
    <row r="1742" spans="3:8" x14ac:dyDescent="0.25">
      <c r="C1742" s="56"/>
      <c r="D1742" s="60"/>
      <c r="E1742" s="60"/>
      <c r="F1742" s="59"/>
      <c r="G1742" s="59"/>
      <c r="H1742" s="59"/>
    </row>
    <row r="1743" spans="3:8" x14ac:dyDescent="0.25">
      <c r="C1743" s="56"/>
      <c r="D1743" s="60"/>
      <c r="E1743" s="60"/>
      <c r="F1743" s="59"/>
      <c r="G1743" s="59"/>
      <c r="H1743" s="59"/>
    </row>
    <row r="1744" spans="3:8" x14ac:dyDescent="0.25">
      <c r="C1744" s="56"/>
      <c r="D1744" s="60"/>
      <c r="E1744" s="60"/>
      <c r="F1744" s="59"/>
      <c r="G1744" s="59"/>
      <c r="H1744" s="59"/>
    </row>
    <row r="1745" spans="3:8" x14ac:dyDescent="0.25">
      <c r="C1745" s="56"/>
      <c r="D1745" s="60"/>
      <c r="E1745" s="60"/>
      <c r="F1745" s="59"/>
      <c r="G1745" s="59"/>
      <c r="H1745" s="59"/>
    </row>
    <row r="1746" spans="3:8" x14ac:dyDescent="0.25">
      <c r="C1746" s="56"/>
      <c r="D1746" s="60"/>
      <c r="E1746" s="60"/>
      <c r="F1746" s="59"/>
      <c r="G1746" s="59"/>
      <c r="H1746" s="59"/>
    </row>
    <row r="1747" spans="3:8" x14ac:dyDescent="0.25">
      <c r="C1747" s="56"/>
      <c r="D1747" s="60"/>
      <c r="E1747" s="60"/>
      <c r="F1747" s="59"/>
      <c r="G1747" s="59"/>
      <c r="H1747" s="59"/>
    </row>
    <row r="1748" spans="3:8" x14ac:dyDescent="0.25">
      <c r="C1748" s="56"/>
      <c r="D1748" s="60"/>
      <c r="E1748" s="60"/>
      <c r="F1748" s="59"/>
      <c r="G1748" s="59"/>
      <c r="H1748" s="59"/>
    </row>
    <row r="1749" spans="3:8" x14ac:dyDescent="0.25">
      <c r="C1749" s="56"/>
      <c r="D1749" s="60"/>
      <c r="E1749" s="60"/>
      <c r="F1749" s="59"/>
      <c r="G1749" s="59"/>
      <c r="H1749" s="59"/>
    </row>
    <row r="1750" spans="3:8" x14ac:dyDescent="0.25">
      <c r="C1750" s="56"/>
      <c r="D1750" s="60"/>
      <c r="E1750" s="60"/>
      <c r="F1750" s="59"/>
      <c r="G1750" s="59"/>
      <c r="H1750" s="59"/>
    </row>
    <row r="1751" spans="3:8" x14ac:dyDescent="0.25">
      <c r="C1751" s="56"/>
      <c r="D1751" s="60"/>
      <c r="E1751" s="60"/>
      <c r="F1751" s="59"/>
      <c r="G1751" s="59"/>
      <c r="H1751" s="59"/>
    </row>
    <row r="1752" spans="3:8" x14ac:dyDescent="0.25">
      <c r="C1752" s="56"/>
      <c r="D1752" s="60"/>
      <c r="E1752" s="60"/>
      <c r="F1752" s="59"/>
      <c r="G1752" s="59"/>
      <c r="H1752" s="59"/>
    </row>
    <row r="1753" spans="3:8" x14ac:dyDescent="0.25">
      <c r="C1753" s="56"/>
      <c r="D1753" s="60"/>
      <c r="E1753" s="60"/>
      <c r="F1753" s="59"/>
      <c r="G1753" s="59"/>
      <c r="H1753" s="59"/>
    </row>
    <row r="1754" spans="3:8" x14ac:dyDescent="0.25">
      <c r="C1754" s="56"/>
      <c r="D1754" s="60"/>
      <c r="E1754" s="60"/>
      <c r="F1754" s="59"/>
      <c r="G1754" s="59"/>
      <c r="H1754" s="59"/>
    </row>
    <row r="1755" spans="3:8" x14ac:dyDescent="0.25">
      <c r="C1755" s="56"/>
      <c r="D1755" s="60"/>
      <c r="E1755" s="60"/>
      <c r="F1755" s="59"/>
      <c r="G1755" s="59"/>
      <c r="H1755" s="59"/>
    </row>
    <row r="1756" spans="3:8" x14ac:dyDescent="0.25">
      <c r="C1756" s="56"/>
      <c r="D1756" s="60"/>
      <c r="E1756" s="60"/>
      <c r="F1756" s="59"/>
      <c r="G1756" s="59"/>
      <c r="H1756" s="59"/>
    </row>
    <row r="1757" spans="3:8" x14ac:dyDescent="0.25">
      <c r="C1757" s="56"/>
      <c r="D1757" s="60"/>
      <c r="E1757" s="60"/>
      <c r="F1757" s="59"/>
      <c r="G1757" s="59"/>
      <c r="H1757" s="59"/>
    </row>
    <row r="1758" spans="3:8" x14ac:dyDescent="0.25">
      <c r="C1758" s="56"/>
      <c r="D1758" s="60"/>
      <c r="E1758" s="60"/>
      <c r="F1758" s="59"/>
      <c r="G1758" s="59"/>
      <c r="H1758" s="59"/>
    </row>
    <row r="1759" spans="3:8" x14ac:dyDescent="0.25">
      <c r="C1759" s="56"/>
      <c r="D1759" s="60"/>
      <c r="E1759" s="60"/>
      <c r="F1759" s="59"/>
      <c r="G1759" s="59"/>
      <c r="H1759" s="59"/>
    </row>
    <row r="1760" spans="3:8" x14ac:dyDescent="0.25">
      <c r="C1760" s="56"/>
      <c r="D1760" s="60"/>
      <c r="E1760" s="60"/>
      <c r="F1760" s="59"/>
      <c r="G1760" s="59"/>
      <c r="H1760" s="59"/>
    </row>
    <row r="1761" spans="3:8" x14ac:dyDescent="0.25">
      <c r="C1761" s="56"/>
      <c r="D1761" s="60"/>
      <c r="E1761" s="60"/>
      <c r="F1761" s="59"/>
      <c r="G1761" s="59"/>
      <c r="H1761" s="59"/>
    </row>
    <row r="1762" spans="3:8" x14ac:dyDescent="0.25">
      <c r="C1762" s="56"/>
      <c r="D1762" s="60"/>
      <c r="E1762" s="60"/>
      <c r="F1762" s="59"/>
      <c r="G1762" s="59"/>
      <c r="H1762" s="59"/>
    </row>
    <row r="1763" spans="3:8" x14ac:dyDescent="0.25">
      <c r="C1763" s="56"/>
      <c r="D1763" s="60"/>
      <c r="E1763" s="60"/>
      <c r="F1763" s="59"/>
      <c r="G1763" s="59"/>
      <c r="H1763" s="59"/>
    </row>
    <row r="1764" spans="3:8" x14ac:dyDescent="0.25">
      <c r="C1764" s="56"/>
      <c r="D1764" s="60"/>
      <c r="E1764" s="60"/>
      <c r="F1764" s="59"/>
      <c r="G1764" s="59"/>
      <c r="H1764" s="59"/>
    </row>
    <row r="1765" spans="3:8" x14ac:dyDescent="0.25">
      <c r="C1765" s="56"/>
      <c r="D1765" s="60"/>
      <c r="E1765" s="60"/>
      <c r="F1765" s="59"/>
      <c r="G1765" s="59"/>
      <c r="H1765" s="59"/>
    </row>
    <row r="1766" spans="3:8" x14ac:dyDescent="0.25">
      <c r="C1766" s="56"/>
      <c r="D1766" s="60"/>
      <c r="E1766" s="60"/>
      <c r="F1766" s="59"/>
      <c r="G1766" s="59"/>
      <c r="H1766" s="59"/>
    </row>
    <row r="1767" spans="3:8" x14ac:dyDescent="0.25">
      <c r="C1767" s="56"/>
      <c r="D1767" s="60"/>
      <c r="E1767" s="60"/>
      <c r="F1767" s="59"/>
      <c r="G1767" s="59"/>
      <c r="H1767" s="59"/>
    </row>
    <row r="1768" spans="3:8" x14ac:dyDescent="0.25">
      <c r="C1768" s="56"/>
      <c r="D1768" s="60"/>
      <c r="E1768" s="60"/>
      <c r="F1768" s="59"/>
      <c r="G1768" s="59"/>
      <c r="H1768" s="59"/>
    </row>
    <row r="1769" spans="3:8" x14ac:dyDescent="0.25">
      <c r="C1769" s="56"/>
      <c r="D1769" s="60"/>
      <c r="E1769" s="60"/>
      <c r="F1769" s="59"/>
      <c r="G1769" s="59"/>
      <c r="H1769" s="59"/>
    </row>
    <row r="1770" spans="3:8" x14ac:dyDescent="0.25">
      <c r="C1770" s="56"/>
      <c r="D1770" s="60"/>
      <c r="E1770" s="60"/>
      <c r="F1770" s="59"/>
      <c r="G1770" s="59"/>
      <c r="H1770" s="59"/>
    </row>
    <row r="1771" spans="3:8" x14ac:dyDescent="0.25">
      <c r="C1771" s="56"/>
      <c r="D1771" s="60"/>
      <c r="E1771" s="60"/>
      <c r="F1771" s="59"/>
      <c r="G1771" s="59"/>
      <c r="H1771" s="59"/>
    </row>
    <row r="1772" spans="3:8" x14ac:dyDescent="0.25">
      <c r="C1772" s="56"/>
      <c r="D1772" s="60"/>
      <c r="E1772" s="60"/>
      <c r="F1772" s="59"/>
      <c r="G1772" s="59"/>
      <c r="H1772" s="59"/>
    </row>
    <row r="1773" spans="3:8" x14ac:dyDescent="0.25">
      <c r="C1773" s="56"/>
      <c r="D1773" s="60"/>
      <c r="E1773" s="60"/>
      <c r="F1773" s="59"/>
      <c r="G1773" s="59"/>
      <c r="H1773" s="59"/>
    </row>
    <row r="1774" spans="3:8" x14ac:dyDescent="0.25">
      <c r="C1774" s="56"/>
      <c r="D1774" s="60"/>
      <c r="E1774" s="60"/>
      <c r="F1774" s="59"/>
      <c r="G1774" s="59"/>
      <c r="H1774" s="59"/>
    </row>
    <row r="1775" spans="3:8" x14ac:dyDescent="0.25">
      <c r="C1775" s="56"/>
      <c r="D1775" s="60"/>
      <c r="E1775" s="60"/>
      <c r="F1775" s="59"/>
      <c r="G1775" s="59"/>
      <c r="H1775" s="59"/>
    </row>
    <row r="1776" spans="3:8" x14ac:dyDescent="0.25">
      <c r="C1776" s="56"/>
      <c r="D1776" s="60"/>
      <c r="E1776" s="60"/>
      <c r="F1776" s="59"/>
      <c r="G1776" s="59"/>
      <c r="H1776" s="59"/>
    </row>
    <row r="1777" spans="3:8" x14ac:dyDescent="0.25">
      <c r="C1777" s="56"/>
      <c r="D1777" s="60"/>
      <c r="E1777" s="60"/>
      <c r="F1777" s="59"/>
      <c r="G1777" s="59"/>
      <c r="H1777" s="59"/>
    </row>
    <row r="1778" spans="3:8" x14ac:dyDescent="0.25">
      <c r="C1778" s="56"/>
      <c r="D1778" s="60"/>
      <c r="E1778" s="60"/>
      <c r="F1778" s="59"/>
      <c r="G1778" s="59"/>
      <c r="H1778" s="59"/>
    </row>
    <row r="1779" spans="3:8" x14ac:dyDescent="0.25">
      <c r="C1779" s="56"/>
      <c r="D1779" s="60"/>
      <c r="E1779" s="60"/>
      <c r="F1779" s="59"/>
      <c r="G1779" s="59"/>
      <c r="H1779" s="59"/>
    </row>
    <row r="1780" spans="3:8" x14ac:dyDescent="0.25">
      <c r="C1780" s="56"/>
      <c r="D1780" s="60"/>
      <c r="E1780" s="60"/>
      <c r="F1780" s="59"/>
      <c r="G1780" s="59"/>
      <c r="H1780" s="59"/>
    </row>
    <row r="1781" spans="3:8" x14ac:dyDescent="0.25">
      <c r="C1781" s="56"/>
      <c r="D1781" s="60"/>
      <c r="E1781" s="60"/>
      <c r="F1781" s="59"/>
      <c r="G1781" s="59"/>
      <c r="H1781" s="59"/>
    </row>
    <row r="1782" spans="3:8" x14ac:dyDescent="0.25">
      <c r="C1782" s="56"/>
      <c r="D1782" s="60"/>
      <c r="E1782" s="60"/>
      <c r="F1782" s="59"/>
      <c r="G1782" s="59"/>
      <c r="H1782" s="59"/>
    </row>
    <row r="1783" spans="3:8" x14ac:dyDescent="0.25">
      <c r="C1783" s="56"/>
      <c r="D1783" s="60"/>
      <c r="E1783" s="60"/>
      <c r="F1783" s="59"/>
      <c r="G1783" s="59"/>
      <c r="H1783" s="59"/>
    </row>
    <row r="1784" spans="3:8" x14ac:dyDescent="0.25">
      <c r="C1784" s="56"/>
      <c r="D1784" s="60"/>
      <c r="E1784" s="60"/>
      <c r="F1784" s="59"/>
      <c r="G1784" s="59"/>
      <c r="H1784" s="59"/>
    </row>
    <row r="1785" spans="3:8" x14ac:dyDescent="0.25">
      <c r="C1785" s="56"/>
      <c r="D1785" s="60"/>
      <c r="E1785" s="60"/>
      <c r="F1785" s="59"/>
      <c r="G1785" s="59"/>
      <c r="H1785" s="59"/>
    </row>
    <row r="1786" spans="3:8" x14ac:dyDescent="0.25">
      <c r="C1786" s="56"/>
      <c r="D1786" s="60"/>
      <c r="E1786" s="60"/>
      <c r="F1786" s="59"/>
      <c r="G1786" s="59"/>
      <c r="H1786" s="59"/>
    </row>
    <row r="1787" spans="3:8" x14ac:dyDescent="0.25">
      <c r="C1787" s="56"/>
      <c r="D1787" s="60"/>
      <c r="E1787" s="60"/>
      <c r="F1787" s="59"/>
      <c r="G1787" s="59"/>
      <c r="H1787" s="59"/>
    </row>
    <row r="1788" spans="3:8" x14ac:dyDescent="0.25">
      <c r="C1788" s="56"/>
      <c r="D1788" s="60"/>
      <c r="E1788" s="60"/>
      <c r="F1788" s="59"/>
      <c r="G1788" s="59"/>
      <c r="H1788" s="59"/>
    </row>
    <row r="1789" spans="3:8" x14ac:dyDescent="0.25">
      <c r="C1789" s="56"/>
      <c r="D1789" s="60"/>
      <c r="E1789" s="60"/>
      <c r="F1789" s="59"/>
      <c r="G1789" s="59"/>
      <c r="H1789" s="59"/>
    </row>
    <row r="1790" spans="3:8" x14ac:dyDescent="0.25">
      <c r="C1790" s="56"/>
      <c r="D1790" s="60"/>
      <c r="E1790" s="60"/>
      <c r="F1790" s="59"/>
      <c r="G1790" s="59"/>
      <c r="H1790" s="59"/>
    </row>
    <row r="1791" spans="3:8" x14ac:dyDescent="0.25">
      <c r="C1791" s="56"/>
      <c r="D1791" s="60"/>
      <c r="E1791" s="60"/>
      <c r="F1791" s="59"/>
      <c r="G1791" s="59"/>
      <c r="H1791" s="59"/>
    </row>
    <row r="1792" spans="3:8" x14ac:dyDescent="0.25">
      <c r="C1792" s="56"/>
      <c r="D1792" s="60"/>
      <c r="E1792" s="60"/>
      <c r="F1792" s="59"/>
      <c r="G1792" s="59"/>
      <c r="H1792" s="59"/>
    </row>
    <row r="1793" spans="3:8" x14ac:dyDescent="0.25">
      <c r="C1793" s="56"/>
      <c r="D1793" s="60"/>
      <c r="E1793" s="60"/>
      <c r="F1793" s="59"/>
      <c r="G1793" s="59"/>
      <c r="H1793" s="59"/>
    </row>
    <row r="1794" spans="3:8" x14ac:dyDescent="0.25">
      <c r="C1794" s="56"/>
      <c r="D1794" s="60"/>
      <c r="E1794" s="60"/>
      <c r="F1794" s="59"/>
      <c r="G1794" s="59"/>
      <c r="H1794" s="59"/>
    </row>
    <row r="1795" spans="3:8" x14ac:dyDescent="0.25">
      <c r="C1795" s="56"/>
      <c r="D1795" s="60"/>
      <c r="E1795" s="60"/>
      <c r="F1795" s="59"/>
      <c r="G1795" s="59"/>
      <c r="H1795" s="59"/>
    </row>
    <row r="1796" spans="3:8" x14ac:dyDescent="0.25">
      <c r="C1796" s="56"/>
      <c r="D1796" s="60"/>
      <c r="E1796" s="60"/>
      <c r="F1796" s="59"/>
      <c r="G1796" s="59"/>
      <c r="H1796" s="59"/>
    </row>
    <row r="1797" spans="3:8" x14ac:dyDescent="0.25">
      <c r="C1797" s="56"/>
      <c r="D1797" s="60"/>
      <c r="E1797" s="60"/>
      <c r="F1797" s="59"/>
      <c r="G1797" s="59"/>
      <c r="H1797" s="59"/>
    </row>
    <row r="1798" spans="3:8" x14ac:dyDescent="0.25">
      <c r="C1798" s="56"/>
      <c r="D1798" s="60"/>
      <c r="E1798" s="60"/>
      <c r="F1798" s="59"/>
      <c r="G1798" s="59"/>
      <c r="H1798" s="59"/>
    </row>
    <row r="1799" spans="3:8" x14ac:dyDescent="0.25">
      <c r="C1799" s="56"/>
      <c r="D1799" s="60"/>
      <c r="E1799" s="60"/>
      <c r="F1799" s="59"/>
      <c r="G1799" s="59"/>
      <c r="H1799" s="59"/>
    </row>
    <row r="1800" spans="3:8" x14ac:dyDescent="0.25">
      <c r="C1800" s="56"/>
      <c r="D1800" s="60"/>
      <c r="E1800" s="60"/>
      <c r="F1800" s="59"/>
      <c r="G1800" s="59"/>
      <c r="H1800" s="59"/>
    </row>
    <row r="1801" spans="3:8" x14ac:dyDescent="0.25">
      <c r="C1801" s="56"/>
      <c r="D1801" s="60"/>
      <c r="E1801" s="60"/>
      <c r="F1801" s="59"/>
      <c r="G1801" s="59"/>
      <c r="H1801" s="59"/>
    </row>
    <row r="1802" spans="3:8" x14ac:dyDescent="0.25">
      <c r="C1802" s="56"/>
      <c r="D1802" s="60"/>
      <c r="E1802" s="60"/>
      <c r="F1802" s="59"/>
      <c r="G1802" s="59"/>
      <c r="H1802" s="59"/>
    </row>
    <row r="1803" spans="3:8" x14ac:dyDescent="0.25">
      <c r="C1803" s="56"/>
      <c r="D1803" s="60"/>
      <c r="E1803" s="60"/>
      <c r="F1803" s="59"/>
      <c r="G1803" s="59"/>
      <c r="H1803" s="59"/>
    </row>
    <row r="1804" spans="3:8" x14ac:dyDescent="0.25">
      <c r="C1804" s="56"/>
      <c r="D1804" s="60"/>
      <c r="E1804" s="60"/>
      <c r="F1804" s="59"/>
      <c r="G1804" s="59"/>
      <c r="H1804" s="59"/>
    </row>
    <row r="1805" spans="3:8" x14ac:dyDescent="0.25">
      <c r="C1805" s="56"/>
      <c r="D1805" s="60"/>
      <c r="E1805" s="60"/>
      <c r="F1805" s="59"/>
      <c r="G1805" s="59"/>
      <c r="H1805" s="59"/>
    </row>
    <row r="1806" spans="3:8" x14ac:dyDescent="0.25">
      <c r="C1806" s="56"/>
      <c r="D1806" s="60"/>
      <c r="E1806" s="60"/>
      <c r="F1806" s="59"/>
      <c r="G1806" s="59"/>
      <c r="H1806" s="59"/>
    </row>
    <row r="1807" spans="3:8" x14ac:dyDescent="0.25">
      <c r="C1807" s="56"/>
      <c r="D1807" s="60"/>
      <c r="E1807" s="60"/>
      <c r="F1807" s="59"/>
      <c r="G1807" s="59"/>
      <c r="H1807" s="59"/>
    </row>
    <row r="1808" spans="3:8" x14ac:dyDescent="0.25">
      <c r="C1808" s="56"/>
      <c r="D1808" s="60"/>
      <c r="E1808" s="60"/>
      <c r="F1808" s="59"/>
      <c r="G1808" s="59"/>
      <c r="H1808" s="59"/>
    </row>
    <row r="1809" spans="3:8" x14ac:dyDescent="0.25">
      <c r="C1809" s="56"/>
      <c r="D1809" s="60"/>
      <c r="E1809" s="60"/>
      <c r="F1809" s="59"/>
      <c r="G1809" s="59"/>
      <c r="H1809" s="59"/>
    </row>
    <row r="1810" spans="3:8" x14ac:dyDescent="0.25">
      <c r="C1810" s="56"/>
      <c r="D1810" s="60"/>
      <c r="E1810" s="60"/>
      <c r="F1810" s="59"/>
      <c r="G1810" s="59"/>
      <c r="H1810" s="59"/>
    </row>
    <row r="1811" spans="3:8" x14ac:dyDescent="0.25">
      <c r="C1811" s="56"/>
      <c r="D1811" s="60"/>
      <c r="E1811" s="60"/>
      <c r="F1811" s="59"/>
      <c r="G1811" s="59"/>
      <c r="H1811" s="59"/>
    </row>
    <row r="1812" spans="3:8" x14ac:dyDescent="0.25">
      <c r="C1812" s="56"/>
      <c r="D1812" s="60"/>
      <c r="E1812" s="60"/>
      <c r="F1812" s="59"/>
      <c r="G1812" s="59"/>
      <c r="H1812" s="59"/>
    </row>
    <row r="1813" spans="3:8" x14ac:dyDescent="0.25">
      <c r="C1813" s="56"/>
      <c r="D1813" s="60"/>
      <c r="E1813" s="60"/>
      <c r="F1813" s="59"/>
      <c r="G1813" s="59"/>
      <c r="H1813" s="59"/>
    </row>
    <row r="1814" spans="3:8" x14ac:dyDescent="0.25">
      <c r="C1814" s="56"/>
      <c r="D1814" s="60"/>
      <c r="E1814" s="60"/>
      <c r="F1814" s="59"/>
      <c r="G1814" s="59"/>
      <c r="H1814" s="59"/>
    </row>
    <row r="1815" spans="3:8" x14ac:dyDescent="0.25">
      <c r="C1815" s="56"/>
      <c r="D1815" s="60"/>
      <c r="E1815" s="60"/>
      <c r="F1815" s="59"/>
      <c r="G1815" s="59"/>
      <c r="H1815" s="59"/>
    </row>
    <row r="1816" spans="3:8" x14ac:dyDescent="0.25">
      <c r="C1816" s="56"/>
      <c r="D1816" s="60"/>
      <c r="E1816" s="60"/>
      <c r="F1816" s="59"/>
      <c r="G1816" s="59"/>
      <c r="H1816" s="59"/>
    </row>
    <row r="1817" spans="3:8" x14ac:dyDescent="0.25">
      <c r="C1817" s="56"/>
      <c r="D1817" s="60"/>
      <c r="E1817" s="60"/>
      <c r="F1817" s="59"/>
      <c r="G1817" s="59"/>
      <c r="H1817" s="59"/>
    </row>
    <row r="1818" spans="3:8" x14ac:dyDescent="0.25">
      <c r="C1818" s="56"/>
      <c r="D1818" s="60"/>
      <c r="E1818" s="60"/>
      <c r="F1818" s="59"/>
      <c r="G1818" s="59"/>
      <c r="H1818" s="59"/>
    </row>
    <row r="1819" spans="3:8" x14ac:dyDescent="0.25">
      <c r="C1819" s="56"/>
      <c r="D1819" s="60"/>
      <c r="E1819" s="60"/>
      <c r="F1819" s="59"/>
      <c r="G1819" s="59"/>
      <c r="H1819" s="59"/>
    </row>
    <row r="1820" spans="3:8" x14ac:dyDescent="0.25">
      <c r="C1820" s="56"/>
      <c r="D1820" s="60"/>
      <c r="E1820" s="60"/>
      <c r="F1820" s="59"/>
      <c r="G1820" s="59"/>
      <c r="H1820" s="59"/>
    </row>
    <row r="1821" spans="3:8" x14ac:dyDescent="0.25">
      <c r="C1821" s="56"/>
      <c r="D1821" s="60"/>
      <c r="E1821" s="60"/>
      <c r="F1821" s="59"/>
      <c r="G1821" s="59"/>
      <c r="H1821" s="59"/>
    </row>
    <row r="1822" spans="3:8" x14ac:dyDescent="0.25">
      <c r="C1822" s="56"/>
      <c r="D1822" s="60"/>
      <c r="E1822" s="60"/>
      <c r="F1822" s="59"/>
      <c r="G1822" s="59"/>
      <c r="H1822" s="59"/>
    </row>
    <row r="1823" spans="3:8" x14ac:dyDescent="0.25">
      <c r="C1823" s="56"/>
      <c r="D1823" s="60"/>
      <c r="E1823" s="60"/>
      <c r="F1823" s="59"/>
      <c r="G1823" s="59"/>
      <c r="H1823" s="59"/>
    </row>
    <row r="1824" spans="3:8" x14ac:dyDescent="0.25">
      <c r="C1824" s="56"/>
      <c r="D1824" s="60"/>
      <c r="E1824" s="60"/>
      <c r="F1824" s="59"/>
      <c r="G1824" s="59"/>
      <c r="H1824" s="59"/>
    </row>
    <row r="1825" spans="3:8" x14ac:dyDescent="0.25">
      <c r="C1825" s="56"/>
      <c r="D1825" s="60"/>
      <c r="E1825" s="60"/>
      <c r="F1825" s="59"/>
      <c r="G1825" s="59"/>
      <c r="H1825" s="59"/>
    </row>
    <row r="1826" spans="3:8" x14ac:dyDescent="0.25">
      <c r="C1826" s="56"/>
      <c r="D1826" s="60"/>
      <c r="E1826" s="60"/>
      <c r="F1826" s="59"/>
      <c r="G1826" s="59"/>
      <c r="H1826" s="59"/>
    </row>
    <row r="1827" spans="3:8" x14ac:dyDescent="0.25">
      <c r="C1827" s="56"/>
      <c r="D1827" s="60"/>
      <c r="E1827" s="60"/>
      <c r="F1827" s="59"/>
      <c r="G1827" s="59"/>
      <c r="H1827" s="59"/>
    </row>
    <row r="1828" spans="3:8" x14ac:dyDescent="0.25">
      <c r="C1828" s="56"/>
      <c r="D1828" s="60"/>
      <c r="E1828" s="60"/>
      <c r="F1828" s="59"/>
      <c r="G1828" s="59"/>
      <c r="H1828" s="59"/>
    </row>
    <row r="1829" spans="3:8" x14ac:dyDescent="0.25">
      <c r="C1829" s="56"/>
      <c r="D1829" s="60"/>
      <c r="E1829" s="60"/>
      <c r="F1829" s="59"/>
      <c r="G1829" s="59"/>
      <c r="H1829" s="59"/>
    </row>
    <row r="1830" spans="3:8" x14ac:dyDescent="0.25">
      <c r="C1830" s="56"/>
      <c r="D1830" s="60"/>
      <c r="E1830" s="60"/>
      <c r="F1830" s="59"/>
      <c r="G1830" s="59"/>
      <c r="H1830" s="59"/>
    </row>
    <row r="1831" spans="3:8" x14ac:dyDescent="0.25">
      <c r="C1831" s="56"/>
      <c r="D1831" s="60"/>
      <c r="E1831" s="60"/>
      <c r="F1831" s="59"/>
      <c r="G1831" s="59"/>
      <c r="H1831" s="59"/>
    </row>
    <row r="1832" spans="3:8" x14ac:dyDescent="0.25">
      <c r="C1832" s="56"/>
      <c r="D1832" s="60"/>
      <c r="E1832" s="60"/>
      <c r="F1832" s="59"/>
      <c r="G1832" s="59"/>
      <c r="H1832" s="59"/>
    </row>
    <row r="1833" spans="3:8" x14ac:dyDescent="0.25">
      <c r="C1833" s="56"/>
      <c r="D1833" s="60"/>
      <c r="E1833" s="60"/>
      <c r="F1833" s="59"/>
      <c r="G1833" s="59"/>
      <c r="H1833" s="59"/>
    </row>
    <row r="1834" spans="3:8" x14ac:dyDescent="0.25">
      <c r="C1834" s="56"/>
      <c r="D1834" s="60"/>
      <c r="E1834" s="60"/>
      <c r="F1834" s="59"/>
      <c r="G1834" s="59"/>
      <c r="H1834" s="59"/>
    </row>
    <row r="1835" spans="3:8" x14ac:dyDescent="0.25">
      <c r="C1835" s="56"/>
      <c r="D1835" s="60"/>
      <c r="E1835" s="60"/>
      <c r="F1835" s="59"/>
      <c r="G1835" s="59"/>
      <c r="H1835" s="59"/>
    </row>
    <row r="1836" spans="3:8" x14ac:dyDescent="0.25">
      <c r="C1836" s="56"/>
      <c r="D1836" s="60"/>
      <c r="E1836" s="60"/>
      <c r="F1836" s="59"/>
      <c r="G1836" s="59"/>
      <c r="H1836" s="59"/>
    </row>
    <row r="1837" spans="3:8" x14ac:dyDescent="0.25">
      <c r="C1837" s="56"/>
      <c r="D1837" s="60"/>
      <c r="E1837" s="60"/>
      <c r="F1837" s="59"/>
      <c r="G1837" s="59"/>
      <c r="H1837" s="59"/>
    </row>
    <row r="1838" spans="3:8" x14ac:dyDescent="0.25">
      <c r="C1838" s="56"/>
      <c r="D1838" s="60"/>
      <c r="E1838" s="60"/>
      <c r="F1838" s="59"/>
      <c r="G1838" s="59"/>
      <c r="H1838" s="59"/>
    </row>
    <row r="1839" spans="3:8" x14ac:dyDescent="0.25">
      <c r="C1839" s="56"/>
      <c r="D1839" s="60"/>
      <c r="E1839" s="60"/>
      <c r="F1839" s="59"/>
      <c r="G1839" s="59"/>
      <c r="H1839" s="59"/>
    </row>
    <row r="1840" spans="3:8" x14ac:dyDescent="0.25">
      <c r="C1840" s="56"/>
      <c r="D1840" s="60"/>
      <c r="E1840" s="60"/>
      <c r="F1840" s="59"/>
      <c r="G1840" s="59"/>
      <c r="H1840" s="59"/>
    </row>
    <row r="1841" spans="3:8" x14ac:dyDescent="0.25">
      <c r="C1841" s="56"/>
      <c r="D1841" s="60"/>
      <c r="E1841" s="60"/>
      <c r="F1841" s="59"/>
      <c r="G1841" s="59"/>
      <c r="H1841" s="59"/>
    </row>
    <row r="1842" spans="3:8" x14ac:dyDescent="0.25">
      <c r="C1842" s="56"/>
      <c r="D1842" s="60"/>
      <c r="E1842" s="60"/>
      <c r="F1842" s="59"/>
      <c r="G1842" s="59"/>
      <c r="H1842" s="59"/>
    </row>
    <row r="1843" spans="3:8" x14ac:dyDescent="0.25">
      <c r="C1843" s="56"/>
      <c r="D1843" s="60"/>
      <c r="E1843" s="60"/>
      <c r="F1843" s="59"/>
      <c r="G1843" s="59"/>
      <c r="H1843" s="59"/>
    </row>
    <row r="1844" spans="3:8" x14ac:dyDescent="0.25">
      <c r="C1844" s="56"/>
      <c r="D1844" s="60"/>
      <c r="E1844" s="60"/>
      <c r="F1844" s="59"/>
      <c r="G1844" s="59"/>
      <c r="H1844" s="59"/>
    </row>
    <row r="1845" spans="3:8" x14ac:dyDescent="0.25">
      <c r="C1845" s="56"/>
      <c r="D1845" s="60"/>
      <c r="E1845" s="60"/>
      <c r="F1845" s="59"/>
      <c r="G1845" s="59"/>
      <c r="H1845" s="59"/>
    </row>
    <row r="1846" spans="3:8" x14ac:dyDescent="0.25">
      <c r="C1846" s="56"/>
      <c r="D1846" s="60"/>
      <c r="E1846" s="60"/>
      <c r="F1846" s="59"/>
      <c r="G1846" s="59"/>
      <c r="H1846" s="59"/>
    </row>
    <row r="1847" spans="3:8" x14ac:dyDescent="0.25">
      <c r="C1847" s="56"/>
      <c r="D1847" s="60"/>
      <c r="E1847" s="60"/>
      <c r="F1847" s="59"/>
      <c r="G1847" s="59"/>
      <c r="H1847" s="59"/>
    </row>
    <row r="1848" spans="3:8" x14ac:dyDescent="0.25">
      <c r="C1848" s="56"/>
      <c r="D1848" s="60"/>
      <c r="E1848" s="60"/>
      <c r="F1848" s="59"/>
      <c r="G1848" s="59"/>
      <c r="H1848" s="59"/>
    </row>
    <row r="1849" spans="3:8" x14ac:dyDescent="0.25">
      <c r="C1849" s="56"/>
      <c r="D1849" s="60"/>
      <c r="E1849" s="60"/>
      <c r="F1849" s="59"/>
      <c r="G1849" s="59"/>
      <c r="H1849" s="59"/>
    </row>
    <row r="1850" spans="3:8" x14ac:dyDescent="0.25">
      <c r="C1850" s="56"/>
      <c r="D1850" s="60"/>
      <c r="E1850" s="60"/>
      <c r="F1850" s="59"/>
      <c r="G1850" s="59"/>
      <c r="H1850" s="59"/>
    </row>
    <row r="1851" spans="3:8" x14ac:dyDescent="0.25">
      <c r="C1851" s="56"/>
      <c r="D1851" s="60"/>
      <c r="E1851" s="60"/>
      <c r="F1851" s="59"/>
      <c r="G1851" s="59"/>
      <c r="H1851" s="59"/>
    </row>
    <row r="1852" spans="3:8" x14ac:dyDescent="0.25">
      <c r="C1852" s="56"/>
      <c r="D1852" s="60"/>
      <c r="E1852" s="60"/>
      <c r="F1852" s="59"/>
      <c r="G1852" s="59"/>
      <c r="H1852" s="59"/>
    </row>
    <row r="1853" spans="3:8" x14ac:dyDescent="0.25">
      <c r="C1853" s="56"/>
      <c r="D1853" s="60"/>
      <c r="E1853" s="60"/>
      <c r="F1853" s="59"/>
      <c r="G1853" s="59"/>
      <c r="H1853" s="59"/>
    </row>
    <row r="1854" spans="3:8" x14ac:dyDescent="0.25">
      <c r="C1854" s="56"/>
      <c r="D1854" s="60"/>
      <c r="E1854" s="60"/>
      <c r="F1854" s="59"/>
      <c r="G1854" s="59"/>
      <c r="H1854" s="59"/>
    </row>
    <row r="1855" spans="3:8" x14ac:dyDescent="0.25">
      <c r="C1855" s="56"/>
      <c r="D1855" s="60"/>
      <c r="E1855" s="60"/>
      <c r="F1855" s="59"/>
      <c r="G1855" s="59"/>
      <c r="H1855" s="59"/>
    </row>
    <row r="1856" spans="3:8" x14ac:dyDescent="0.25">
      <c r="C1856" s="56"/>
      <c r="D1856" s="60"/>
      <c r="E1856" s="60"/>
      <c r="F1856" s="59"/>
      <c r="G1856" s="59"/>
      <c r="H1856" s="59"/>
    </row>
    <row r="1857" spans="3:8" x14ac:dyDescent="0.25">
      <c r="C1857" s="56"/>
      <c r="D1857" s="60"/>
      <c r="E1857" s="60"/>
      <c r="F1857" s="59"/>
      <c r="G1857" s="59"/>
      <c r="H1857" s="59"/>
    </row>
    <row r="1858" spans="3:8" x14ac:dyDescent="0.25">
      <c r="C1858" s="56"/>
      <c r="D1858" s="60"/>
      <c r="E1858" s="60"/>
      <c r="F1858" s="59"/>
      <c r="G1858" s="59"/>
      <c r="H1858" s="59"/>
    </row>
    <row r="1859" spans="3:8" x14ac:dyDescent="0.25">
      <c r="C1859" s="56"/>
      <c r="D1859" s="60"/>
      <c r="E1859" s="60"/>
      <c r="F1859" s="59"/>
      <c r="G1859" s="59"/>
      <c r="H1859" s="59"/>
    </row>
    <row r="1860" spans="3:8" x14ac:dyDescent="0.25">
      <c r="C1860" s="56"/>
      <c r="D1860" s="60"/>
      <c r="E1860" s="60"/>
      <c r="F1860" s="59"/>
      <c r="G1860" s="59"/>
      <c r="H1860" s="59"/>
    </row>
    <row r="1861" spans="3:8" x14ac:dyDescent="0.25">
      <c r="C1861" s="56"/>
      <c r="D1861" s="60"/>
      <c r="E1861" s="60"/>
      <c r="F1861" s="59"/>
      <c r="G1861" s="59"/>
      <c r="H1861" s="59"/>
    </row>
    <row r="1862" spans="3:8" x14ac:dyDescent="0.25">
      <c r="C1862" s="56"/>
      <c r="D1862" s="60"/>
      <c r="E1862" s="60"/>
      <c r="F1862" s="59"/>
      <c r="G1862" s="59"/>
      <c r="H1862" s="59"/>
    </row>
    <row r="1863" spans="3:8" x14ac:dyDescent="0.25">
      <c r="C1863" s="56"/>
      <c r="D1863" s="60"/>
      <c r="E1863" s="60"/>
      <c r="F1863" s="59"/>
      <c r="G1863" s="59"/>
      <c r="H1863" s="59"/>
    </row>
    <row r="1864" spans="3:8" x14ac:dyDescent="0.25">
      <c r="C1864" s="56"/>
      <c r="D1864" s="60"/>
      <c r="E1864" s="60"/>
      <c r="F1864" s="59"/>
      <c r="G1864" s="59"/>
      <c r="H1864" s="59"/>
    </row>
    <row r="1865" spans="3:8" x14ac:dyDescent="0.25">
      <c r="C1865" s="56"/>
      <c r="D1865" s="60"/>
      <c r="E1865" s="60"/>
      <c r="F1865" s="59"/>
      <c r="G1865" s="59"/>
      <c r="H1865" s="59"/>
    </row>
    <row r="1866" spans="3:8" x14ac:dyDescent="0.25">
      <c r="C1866" s="56"/>
      <c r="D1866" s="60"/>
      <c r="E1866" s="60"/>
      <c r="F1866" s="59"/>
      <c r="G1866" s="59"/>
      <c r="H1866" s="59"/>
    </row>
    <row r="1867" spans="3:8" x14ac:dyDescent="0.25">
      <c r="C1867" s="56"/>
      <c r="D1867" s="60"/>
      <c r="E1867" s="60"/>
      <c r="F1867" s="59"/>
      <c r="G1867" s="59"/>
      <c r="H1867" s="59"/>
    </row>
    <row r="1868" spans="3:8" x14ac:dyDescent="0.25">
      <c r="C1868" s="56"/>
      <c r="D1868" s="60"/>
      <c r="E1868" s="60"/>
      <c r="F1868" s="59"/>
      <c r="G1868" s="59"/>
      <c r="H1868" s="59"/>
    </row>
    <row r="1869" spans="3:8" x14ac:dyDescent="0.25">
      <c r="C1869" s="56"/>
      <c r="D1869" s="60"/>
      <c r="E1869" s="60"/>
      <c r="F1869" s="59"/>
      <c r="G1869" s="59"/>
      <c r="H1869" s="59"/>
    </row>
    <row r="1870" spans="3:8" x14ac:dyDescent="0.25">
      <c r="C1870" s="56"/>
      <c r="D1870" s="60"/>
      <c r="E1870" s="60"/>
      <c r="F1870" s="59"/>
      <c r="G1870" s="59"/>
      <c r="H1870" s="59"/>
    </row>
    <row r="1871" spans="3:8" x14ac:dyDescent="0.25">
      <c r="C1871" s="56"/>
      <c r="D1871" s="60"/>
      <c r="E1871" s="60"/>
      <c r="F1871" s="59"/>
      <c r="G1871" s="59"/>
      <c r="H1871" s="59"/>
    </row>
    <row r="1872" spans="3:8" x14ac:dyDescent="0.25">
      <c r="C1872" s="56"/>
      <c r="D1872" s="60"/>
      <c r="E1872" s="60"/>
      <c r="F1872" s="59"/>
      <c r="G1872" s="59"/>
      <c r="H1872" s="59"/>
    </row>
    <row r="1873" spans="3:8" x14ac:dyDescent="0.25">
      <c r="C1873" s="56"/>
      <c r="D1873" s="60"/>
      <c r="E1873" s="60"/>
      <c r="F1873" s="59"/>
      <c r="G1873" s="59"/>
      <c r="H1873" s="59"/>
    </row>
    <row r="1874" spans="3:8" x14ac:dyDescent="0.25">
      <c r="C1874" s="56"/>
      <c r="D1874" s="60"/>
      <c r="E1874" s="60"/>
      <c r="F1874" s="59"/>
      <c r="G1874" s="59"/>
      <c r="H1874" s="59"/>
    </row>
    <row r="1875" spans="3:8" x14ac:dyDescent="0.25">
      <c r="C1875" s="56"/>
      <c r="D1875" s="60"/>
      <c r="E1875" s="60"/>
      <c r="F1875" s="59"/>
      <c r="G1875" s="59"/>
      <c r="H1875" s="59"/>
    </row>
    <row r="1876" spans="3:8" x14ac:dyDescent="0.25">
      <c r="C1876" s="56"/>
      <c r="D1876" s="60"/>
      <c r="E1876" s="60"/>
      <c r="F1876" s="59"/>
      <c r="G1876" s="59"/>
      <c r="H1876" s="59"/>
    </row>
    <row r="1877" spans="3:8" x14ac:dyDescent="0.25">
      <c r="C1877" s="56"/>
      <c r="D1877" s="60"/>
      <c r="E1877" s="60"/>
      <c r="F1877" s="59"/>
      <c r="G1877" s="59"/>
      <c r="H1877" s="59"/>
    </row>
    <row r="1878" spans="3:8" x14ac:dyDescent="0.25">
      <c r="C1878" s="56"/>
      <c r="D1878" s="60"/>
      <c r="E1878" s="60"/>
      <c r="F1878" s="59"/>
      <c r="G1878" s="59"/>
      <c r="H1878" s="59"/>
    </row>
    <row r="1879" spans="3:8" x14ac:dyDescent="0.25">
      <c r="C1879" s="56"/>
      <c r="D1879" s="60"/>
      <c r="E1879" s="60"/>
      <c r="F1879" s="59"/>
      <c r="G1879" s="59"/>
      <c r="H1879" s="59"/>
    </row>
    <row r="1880" spans="3:8" x14ac:dyDescent="0.25">
      <c r="C1880" s="56"/>
      <c r="D1880" s="60"/>
      <c r="E1880" s="60"/>
      <c r="F1880" s="59"/>
      <c r="G1880" s="59"/>
      <c r="H1880" s="59"/>
    </row>
    <row r="1881" spans="3:8" x14ac:dyDescent="0.25">
      <c r="C1881" s="56"/>
      <c r="D1881" s="60"/>
      <c r="E1881" s="60"/>
      <c r="F1881" s="59"/>
      <c r="G1881" s="59"/>
      <c r="H1881" s="59"/>
    </row>
    <row r="1882" spans="3:8" x14ac:dyDescent="0.25">
      <c r="C1882" s="56"/>
      <c r="D1882" s="60"/>
      <c r="E1882" s="60"/>
      <c r="F1882" s="59"/>
      <c r="G1882" s="59"/>
      <c r="H1882" s="59"/>
    </row>
    <row r="1883" spans="3:8" x14ac:dyDescent="0.25">
      <c r="C1883" s="56"/>
      <c r="D1883" s="60"/>
      <c r="E1883" s="60"/>
      <c r="F1883" s="59"/>
      <c r="G1883" s="59"/>
      <c r="H1883" s="59"/>
    </row>
    <row r="1884" spans="3:8" x14ac:dyDescent="0.25">
      <c r="C1884" s="56"/>
      <c r="D1884" s="60"/>
      <c r="E1884" s="60"/>
      <c r="F1884" s="59"/>
      <c r="G1884" s="59"/>
      <c r="H1884" s="59"/>
    </row>
    <row r="1885" spans="3:8" x14ac:dyDescent="0.25">
      <c r="C1885" s="56"/>
      <c r="D1885" s="60"/>
      <c r="E1885" s="60"/>
      <c r="F1885" s="59"/>
      <c r="G1885" s="59"/>
      <c r="H1885" s="59"/>
    </row>
    <row r="1886" spans="3:8" x14ac:dyDescent="0.25">
      <c r="C1886" s="56"/>
      <c r="D1886" s="60"/>
      <c r="E1886" s="60"/>
      <c r="F1886" s="59"/>
      <c r="G1886" s="59"/>
      <c r="H1886" s="59"/>
    </row>
    <row r="1887" spans="3:8" x14ac:dyDescent="0.25">
      <c r="C1887" s="56"/>
      <c r="D1887" s="60"/>
      <c r="E1887" s="60"/>
      <c r="F1887" s="59"/>
      <c r="G1887" s="59"/>
      <c r="H1887" s="59"/>
    </row>
    <row r="1888" spans="3:8" x14ac:dyDescent="0.25">
      <c r="C1888" s="56"/>
      <c r="D1888" s="60"/>
      <c r="E1888" s="60"/>
      <c r="F1888" s="59"/>
      <c r="G1888" s="59"/>
      <c r="H1888" s="59"/>
    </row>
    <row r="1889" spans="3:8" x14ac:dyDescent="0.25">
      <c r="C1889" s="56"/>
      <c r="D1889" s="60"/>
      <c r="E1889" s="60"/>
      <c r="F1889" s="59"/>
      <c r="G1889" s="59"/>
      <c r="H1889" s="59"/>
    </row>
    <row r="1890" spans="3:8" x14ac:dyDescent="0.25">
      <c r="C1890" s="56"/>
      <c r="D1890" s="60"/>
      <c r="E1890" s="60"/>
      <c r="F1890" s="59"/>
      <c r="G1890" s="59"/>
      <c r="H1890" s="59"/>
    </row>
    <row r="1891" spans="3:8" x14ac:dyDescent="0.25">
      <c r="C1891" s="56"/>
      <c r="D1891" s="60"/>
      <c r="E1891" s="60"/>
      <c r="F1891" s="59"/>
      <c r="G1891" s="59"/>
      <c r="H1891" s="59"/>
    </row>
    <row r="1892" spans="3:8" x14ac:dyDescent="0.25">
      <c r="C1892" s="56"/>
      <c r="D1892" s="60"/>
      <c r="E1892" s="60"/>
      <c r="F1892" s="59"/>
      <c r="G1892" s="59"/>
      <c r="H1892" s="59"/>
    </row>
    <row r="1893" spans="3:8" x14ac:dyDescent="0.25">
      <c r="C1893" s="56"/>
      <c r="D1893" s="60"/>
      <c r="E1893" s="60"/>
      <c r="F1893" s="59"/>
      <c r="G1893" s="59"/>
      <c r="H1893" s="59"/>
    </row>
    <row r="1894" spans="3:8" x14ac:dyDescent="0.25">
      <c r="C1894" s="56"/>
      <c r="D1894" s="60"/>
      <c r="E1894" s="60"/>
      <c r="F1894" s="59"/>
      <c r="G1894" s="59"/>
      <c r="H1894" s="59"/>
    </row>
    <row r="1895" spans="3:8" x14ac:dyDescent="0.25">
      <c r="C1895" s="56"/>
      <c r="D1895" s="60"/>
      <c r="E1895" s="60"/>
      <c r="F1895" s="59"/>
      <c r="G1895" s="59"/>
      <c r="H1895" s="59"/>
    </row>
    <row r="1896" spans="3:8" x14ac:dyDescent="0.25">
      <c r="C1896" s="56"/>
      <c r="D1896" s="60"/>
      <c r="E1896" s="60"/>
      <c r="F1896" s="59"/>
      <c r="G1896" s="59"/>
      <c r="H1896" s="59"/>
    </row>
    <row r="1897" spans="3:8" x14ac:dyDescent="0.25">
      <c r="C1897" s="56"/>
      <c r="D1897" s="60"/>
      <c r="E1897" s="60"/>
      <c r="F1897" s="59"/>
      <c r="G1897" s="59"/>
      <c r="H1897" s="59"/>
    </row>
    <row r="1898" spans="3:8" x14ac:dyDescent="0.25">
      <c r="C1898" s="56"/>
      <c r="D1898" s="60"/>
      <c r="E1898" s="60"/>
      <c r="F1898" s="59"/>
      <c r="G1898" s="59"/>
      <c r="H1898" s="59"/>
    </row>
    <row r="1899" spans="3:8" x14ac:dyDescent="0.25">
      <c r="C1899" s="56"/>
      <c r="D1899" s="60"/>
      <c r="E1899" s="60"/>
      <c r="F1899" s="59"/>
      <c r="G1899" s="59"/>
      <c r="H1899" s="59"/>
    </row>
    <row r="1900" spans="3:8" x14ac:dyDescent="0.25">
      <c r="C1900" s="56"/>
      <c r="D1900" s="60"/>
      <c r="E1900" s="60"/>
      <c r="F1900" s="59"/>
      <c r="G1900" s="59"/>
      <c r="H1900" s="59"/>
    </row>
    <row r="1901" spans="3:8" x14ac:dyDescent="0.25">
      <c r="C1901" s="56"/>
      <c r="D1901" s="60"/>
      <c r="E1901" s="60"/>
      <c r="F1901" s="59"/>
      <c r="G1901" s="59"/>
      <c r="H1901" s="59"/>
    </row>
    <row r="1902" spans="3:8" x14ac:dyDescent="0.25">
      <c r="C1902" s="56"/>
      <c r="D1902" s="60"/>
      <c r="E1902" s="60"/>
      <c r="F1902" s="59"/>
      <c r="G1902" s="59"/>
      <c r="H1902" s="59"/>
    </row>
    <row r="1903" spans="3:8" x14ac:dyDescent="0.25">
      <c r="C1903" s="56"/>
      <c r="D1903" s="60"/>
      <c r="E1903" s="60"/>
      <c r="F1903" s="59"/>
      <c r="G1903" s="59"/>
      <c r="H1903" s="59"/>
    </row>
    <row r="1904" spans="3:8" x14ac:dyDescent="0.25">
      <c r="C1904" s="56"/>
      <c r="D1904" s="60"/>
      <c r="E1904" s="60"/>
      <c r="F1904" s="59"/>
      <c r="G1904" s="59"/>
      <c r="H1904" s="59"/>
    </row>
    <row r="1905" spans="3:8" x14ac:dyDescent="0.25">
      <c r="C1905" s="56"/>
      <c r="D1905" s="60"/>
      <c r="E1905" s="60"/>
      <c r="F1905" s="59"/>
      <c r="G1905" s="59"/>
      <c r="H1905" s="59"/>
    </row>
    <row r="1906" spans="3:8" x14ac:dyDescent="0.25">
      <c r="C1906" s="56"/>
      <c r="D1906" s="60"/>
      <c r="E1906" s="60"/>
      <c r="F1906" s="59"/>
      <c r="G1906" s="59"/>
      <c r="H1906" s="59"/>
    </row>
    <row r="1907" spans="3:8" x14ac:dyDescent="0.25">
      <c r="C1907" s="56"/>
      <c r="D1907" s="60"/>
      <c r="E1907" s="60"/>
      <c r="F1907" s="59"/>
      <c r="G1907" s="59"/>
      <c r="H1907" s="59"/>
    </row>
    <row r="1908" spans="3:8" x14ac:dyDescent="0.25">
      <c r="C1908" s="56"/>
      <c r="D1908" s="60"/>
      <c r="E1908" s="60"/>
      <c r="F1908" s="59"/>
      <c r="G1908" s="59"/>
      <c r="H1908" s="59"/>
    </row>
    <row r="1909" spans="3:8" x14ac:dyDescent="0.25">
      <c r="C1909" s="56"/>
      <c r="D1909" s="60"/>
      <c r="E1909" s="60"/>
      <c r="F1909" s="59"/>
      <c r="G1909" s="59"/>
      <c r="H1909" s="59"/>
    </row>
    <row r="1910" spans="3:8" x14ac:dyDescent="0.25">
      <c r="C1910" s="56"/>
      <c r="D1910" s="60"/>
      <c r="E1910" s="60"/>
      <c r="F1910" s="59"/>
      <c r="G1910" s="59"/>
      <c r="H1910" s="59"/>
    </row>
    <row r="1911" spans="3:8" x14ac:dyDescent="0.25">
      <c r="C1911" s="56"/>
      <c r="D1911" s="60"/>
      <c r="E1911" s="60"/>
      <c r="F1911" s="59"/>
      <c r="G1911" s="59"/>
      <c r="H1911" s="59"/>
    </row>
    <row r="1912" spans="3:8" x14ac:dyDescent="0.25">
      <c r="C1912" s="56"/>
      <c r="D1912" s="60"/>
      <c r="E1912" s="60"/>
      <c r="F1912" s="59"/>
      <c r="G1912" s="59"/>
      <c r="H1912" s="59"/>
    </row>
    <row r="1913" spans="3:8" x14ac:dyDescent="0.25">
      <c r="C1913" s="56"/>
      <c r="D1913" s="60"/>
      <c r="E1913" s="60"/>
      <c r="F1913" s="59"/>
      <c r="G1913" s="59"/>
      <c r="H1913" s="59"/>
    </row>
    <row r="1914" spans="3:8" x14ac:dyDescent="0.25">
      <c r="C1914" s="56"/>
      <c r="D1914" s="60"/>
      <c r="E1914" s="60"/>
      <c r="F1914" s="59"/>
      <c r="G1914" s="59"/>
      <c r="H1914" s="59"/>
    </row>
    <row r="1915" spans="3:8" x14ac:dyDescent="0.25">
      <c r="C1915" s="56"/>
      <c r="D1915" s="60"/>
      <c r="E1915" s="60"/>
      <c r="F1915" s="59"/>
      <c r="G1915" s="59"/>
      <c r="H1915" s="59"/>
    </row>
    <row r="1916" spans="3:8" x14ac:dyDescent="0.25">
      <c r="C1916" s="56"/>
      <c r="D1916" s="60"/>
      <c r="E1916" s="60"/>
      <c r="F1916" s="59"/>
      <c r="G1916" s="59"/>
      <c r="H1916" s="59"/>
    </row>
    <row r="1917" spans="3:8" x14ac:dyDescent="0.25">
      <c r="C1917" s="56"/>
      <c r="D1917" s="60"/>
      <c r="E1917" s="60"/>
      <c r="F1917" s="59"/>
      <c r="G1917" s="59"/>
      <c r="H1917" s="59"/>
    </row>
    <row r="1918" spans="3:8" x14ac:dyDescent="0.25">
      <c r="C1918" s="56"/>
      <c r="D1918" s="60"/>
      <c r="E1918" s="60"/>
      <c r="F1918" s="59"/>
      <c r="G1918" s="59"/>
      <c r="H1918" s="59"/>
    </row>
    <row r="1919" spans="3:8" x14ac:dyDescent="0.25">
      <c r="C1919" s="56"/>
      <c r="D1919" s="60"/>
      <c r="E1919" s="60"/>
      <c r="F1919" s="59"/>
      <c r="G1919" s="59"/>
      <c r="H1919" s="59"/>
    </row>
    <row r="1920" spans="3:8" x14ac:dyDescent="0.25">
      <c r="C1920" s="56"/>
      <c r="D1920" s="60"/>
      <c r="E1920" s="60"/>
      <c r="F1920" s="59"/>
      <c r="G1920" s="59"/>
      <c r="H1920" s="59"/>
    </row>
    <row r="1921" spans="3:8" x14ac:dyDescent="0.25">
      <c r="C1921" s="56"/>
      <c r="D1921" s="60"/>
      <c r="E1921" s="60"/>
      <c r="F1921" s="59"/>
      <c r="G1921" s="59"/>
      <c r="H1921" s="59"/>
    </row>
    <row r="1922" spans="3:8" x14ac:dyDescent="0.25">
      <c r="C1922" s="56"/>
      <c r="D1922" s="60"/>
      <c r="E1922" s="60"/>
      <c r="F1922" s="59"/>
      <c r="G1922" s="59"/>
      <c r="H1922" s="59"/>
    </row>
    <row r="1923" spans="3:8" x14ac:dyDescent="0.25">
      <c r="C1923" s="56"/>
      <c r="D1923" s="60"/>
      <c r="E1923" s="60"/>
      <c r="F1923" s="59"/>
      <c r="G1923" s="59"/>
      <c r="H1923" s="59"/>
    </row>
    <row r="1924" spans="3:8" x14ac:dyDescent="0.25">
      <c r="C1924" s="56"/>
      <c r="D1924" s="60"/>
      <c r="E1924" s="60"/>
      <c r="F1924" s="59"/>
      <c r="G1924" s="59"/>
      <c r="H1924" s="59"/>
    </row>
    <row r="1925" spans="3:8" x14ac:dyDescent="0.25">
      <c r="C1925" s="56"/>
      <c r="D1925" s="60"/>
      <c r="E1925" s="60"/>
      <c r="F1925" s="59"/>
      <c r="G1925" s="59"/>
      <c r="H1925" s="59"/>
    </row>
    <row r="1926" spans="3:8" x14ac:dyDescent="0.25">
      <c r="C1926" s="56"/>
      <c r="D1926" s="60"/>
      <c r="E1926" s="60"/>
      <c r="F1926" s="59"/>
      <c r="G1926" s="59"/>
      <c r="H1926" s="59"/>
    </row>
    <row r="1927" spans="3:8" x14ac:dyDescent="0.25">
      <c r="C1927" s="56"/>
      <c r="D1927" s="60"/>
      <c r="E1927" s="60"/>
      <c r="F1927" s="59"/>
      <c r="G1927" s="59"/>
      <c r="H1927" s="59"/>
    </row>
    <row r="1928" spans="3:8" x14ac:dyDescent="0.25">
      <c r="C1928" s="56"/>
      <c r="D1928" s="60"/>
      <c r="E1928" s="60"/>
      <c r="F1928" s="59"/>
      <c r="G1928" s="59"/>
      <c r="H1928" s="59"/>
    </row>
    <row r="1929" spans="3:8" x14ac:dyDescent="0.25">
      <c r="C1929" s="56"/>
      <c r="D1929" s="60"/>
      <c r="E1929" s="60"/>
      <c r="F1929" s="59"/>
      <c r="G1929" s="59"/>
      <c r="H1929" s="59"/>
    </row>
    <row r="1930" spans="3:8" x14ac:dyDescent="0.25">
      <c r="C1930" s="56"/>
      <c r="D1930" s="60"/>
      <c r="E1930" s="60"/>
      <c r="F1930" s="59"/>
      <c r="G1930" s="59"/>
      <c r="H1930" s="59"/>
    </row>
    <row r="1931" spans="3:8" x14ac:dyDescent="0.25">
      <c r="C1931" s="56"/>
      <c r="D1931" s="60"/>
      <c r="E1931" s="60"/>
      <c r="F1931" s="59"/>
      <c r="G1931" s="59"/>
      <c r="H1931" s="59"/>
    </row>
    <row r="1932" spans="3:8" x14ac:dyDescent="0.25">
      <c r="C1932" s="56"/>
      <c r="D1932" s="60"/>
      <c r="E1932" s="60"/>
      <c r="F1932" s="59"/>
      <c r="G1932" s="59"/>
      <c r="H1932" s="59"/>
    </row>
    <row r="1933" spans="3:8" x14ac:dyDescent="0.25">
      <c r="C1933" s="56"/>
      <c r="D1933" s="60"/>
      <c r="E1933" s="60"/>
      <c r="F1933" s="59"/>
      <c r="G1933" s="59"/>
      <c r="H1933" s="59"/>
    </row>
    <row r="1934" spans="3:8" x14ac:dyDescent="0.25">
      <c r="C1934" s="56"/>
      <c r="D1934" s="60"/>
      <c r="E1934" s="60"/>
      <c r="F1934" s="59"/>
      <c r="G1934" s="59"/>
      <c r="H1934" s="59"/>
    </row>
    <row r="1935" spans="3:8" x14ac:dyDescent="0.25">
      <c r="C1935" s="56"/>
      <c r="D1935" s="60"/>
      <c r="E1935" s="60"/>
      <c r="F1935" s="59"/>
      <c r="G1935" s="59"/>
      <c r="H1935" s="59"/>
    </row>
    <row r="1936" spans="3:8" x14ac:dyDescent="0.25">
      <c r="C1936" s="56"/>
      <c r="D1936" s="60"/>
      <c r="E1936" s="60"/>
      <c r="F1936" s="59"/>
      <c r="G1936" s="59"/>
      <c r="H1936" s="59"/>
    </row>
    <row r="1937" spans="3:8" x14ac:dyDescent="0.25">
      <c r="C1937" s="56"/>
      <c r="D1937" s="60"/>
      <c r="E1937" s="60"/>
      <c r="F1937" s="59"/>
      <c r="G1937" s="59"/>
      <c r="H1937" s="59"/>
    </row>
    <row r="1938" spans="3:8" x14ac:dyDescent="0.25">
      <c r="C1938" s="56"/>
      <c r="D1938" s="60"/>
      <c r="E1938" s="60"/>
      <c r="F1938" s="59"/>
      <c r="G1938" s="59"/>
      <c r="H1938" s="59"/>
    </row>
    <row r="1939" spans="3:8" x14ac:dyDescent="0.25">
      <c r="C1939" s="56"/>
      <c r="D1939" s="60"/>
      <c r="E1939" s="60"/>
      <c r="F1939" s="59"/>
      <c r="G1939" s="59"/>
      <c r="H1939" s="59"/>
    </row>
    <row r="1940" spans="3:8" x14ac:dyDescent="0.25">
      <c r="C1940" s="56"/>
      <c r="D1940" s="60"/>
      <c r="E1940" s="60"/>
      <c r="F1940" s="59"/>
      <c r="G1940" s="59"/>
      <c r="H1940" s="59"/>
    </row>
    <row r="1941" spans="3:8" x14ac:dyDescent="0.25">
      <c r="C1941" s="56"/>
      <c r="D1941" s="60"/>
      <c r="E1941" s="60"/>
      <c r="F1941" s="59"/>
      <c r="G1941" s="59"/>
      <c r="H1941" s="59"/>
    </row>
    <row r="1942" spans="3:8" x14ac:dyDescent="0.25">
      <c r="C1942" s="56"/>
      <c r="D1942" s="60"/>
      <c r="E1942" s="60"/>
      <c r="F1942" s="59"/>
      <c r="G1942" s="59"/>
      <c r="H1942" s="59"/>
    </row>
    <row r="1943" spans="3:8" x14ac:dyDescent="0.25">
      <c r="C1943" s="56"/>
      <c r="D1943" s="60"/>
      <c r="E1943" s="60"/>
      <c r="F1943" s="59"/>
      <c r="G1943" s="59"/>
      <c r="H1943" s="59"/>
    </row>
    <row r="1944" spans="3:8" x14ac:dyDescent="0.25">
      <c r="C1944" s="56"/>
      <c r="D1944" s="60"/>
      <c r="E1944" s="60"/>
      <c r="F1944" s="59"/>
      <c r="G1944" s="59"/>
      <c r="H1944" s="59"/>
    </row>
    <row r="1945" spans="3:8" x14ac:dyDescent="0.25">
      <c r="C1945" s="56"/>
      <c r="D1945" s="60"/>
      <c r="E1945" s="60"/>
      <c r="F1945" s="59"/>
      <c r="G1945" s="59"/>
      <c r="H1945" s="59"/>
    </row>
    <row r="1946" spans="3:8" x14ac:dyDescent="0.25">
      <c r="C1946" s="56"/>
      <c r="D1946" s="60"/>
      <c r="E1946" s="60"/>
      <c r="F1946" s="59"/>
      <c r="G1946" s="59"/>
      <c r="H1946" s="59"/>
    </row>
    <row r="1947" spans="3:8" x14ac:dyDescent="0.25">
      <c r="C1947" s="56"/>
      <c r="D1947" s="60"/>
      <c r="E1947" s="60"/>
      <c r="F1947" s="59"/>
      <c r="G1947" s="59"/>
      <c r="H1947" s="59"/>
    </row>
    <row r="1948" spans="3:8" x14ac:dyDescent="0.25">
      <c r="C1948" s="56"/>
      <c r="D1948" s="60"/>
      <c r="E1948" s="60"/>
      <c r="F1948" s="59"/>
      <c r="G1948" s="59"/>
      <c r="H1948" s="59"/>
    </row>
    <row r="1949" spans="3:8" x14ac:dyDescent="0.25">
      <c r="C1949" s="56"/>
      <c r="D1949" s="60"/>
      <c r="E1949" s="60"/>
      <c r="F1949" s="59"/>
      <c r="G1949" s="59"/>
      <c r="H1949" s="59"/>
    </row>
    <row r="1950" spans="3:8" x14ac:dyDescent="0.25">
      <c r="C1950" s="56"/>
      <c r="D1950" s="60"/>
      <c r="E1950" s="60"/>
      <c r="F1950" s="59"/>
      <c r="G1950" s="59"/>
      <c r="H1950" s="59"/>
    </row>
    <row r="1951" spans="3:8" x14ac:dyDescent="0.25">
      <c r="C1951" s="56"/>
      <c r="D1951" s="60"/>
      <c r="E1951" s="60"/>
      <c r="F1951" s="59"/>
      <c r="G1951" s="59"/>
      <c r="H1951" s="59"/>
    </row>
    <row r="1952" spans="3:8" x14ac:dyDescent="0.25">
      <c r="C1952" s="56"/>
      <c r="D1952" s="60"/>
      <c r="E1952" s="60"/>
      <c r="F1952" s="59"/>
      <c r="G1952" s="59"/>
      <c r="H1952" s="59"/>
    </row>
    <row r="1953" spans="3:8" x14ac:dyDescent="0.25">
      <c r="C1953" s="56"/>
      <c r="D1953" s="60"/>
      <c r="E1953" s="60"/>
      <c r="F1953" s="59"/>
      <c r="G1953" s="59"/>
      <c r="H1953" s="59"/>
    </row>
    <row r="1954" spans="3:8" x14ac:dyDescent="0.25">
      <c r="C1954" s="56"/>
      <c r="D1954" s="60"/>
      <c r="E1954" s="60"/>
      <c r="F1954" s="59"/>
      <c r="G1954" s="59"/>
      <c r="H1954" s="59"/>
    </row>
    <row r="1955" spans="3:8" x14ac:dyDescent="0.25">
      <c r="C1955" s="56"/>
      <c r="D1955" s="60"/>
      <c r="E1955" s="60"/>
      <c r="F1955" s="59"/>
      <c r="G1955" s="59"/>
      <c r="H1955" s="59"/>
    </row>
    <row r="1956" spans="3:8" x14ac:dyDescent="0.25">
      <c r="C1956" s="56"/>
      <c r="D1956" s="60"/>
      <c r="E1956" s="60"/>
      <c r="F1956" s="59"/>
      <c r="G1956" s="59"/>
      <c r="H1956" s="59"/>
    </row>
    <row r="1957" spans="3:8" x14ac:dyDescent="0.25">
      <c r="C1957" s="56"/>
      <c r="D1957" s="60"/>
      <c r="E1957" s="60"/>
      <c r="F1957" s="59"/>
      <c r="G1957" s="59"/>
      <c r="H1957" s="59"/>
    </row>
    <row r="1958" spans="3:8" x14ac:dyDescent="0.25">
      <c r="C1958" s="56"/>
      <c r="D1958" s="60"/>
      <c r="E1958" s="60"/>
      <c r="F1958" s="59"/>
      <c r="G1958" s="59"/>
      <c r="H1958" s="59"/>
    </row>
    <row r="1959" spans="3:8" x14ac:dyDescent="0.25">
      <c r="C1959" s="56"/>
      <c r="D1959" s="60"/>
      <c r="E1959" s="60"/>
      <c r="F1959" s="59"/>
      <c r="G1959" s="59"/>
      <c r="H1959" s="59"/>
    </row>
    <row r="1960" spans="3:8" x14ac:dyDescent="0.25">
      <c r="C1960" s="56"/>
      <c r="D1960" s="60"/>
      <c r="E1960" s="60"/>
      <c r="F1960" s="59"/>
      <c r="G1960" s="59"/>
      <c r="H1960" s="59"/>
    </row>
    <row r="1961" spans="3:8" x14ac:dyDescent="0.25">
      <c r="C1961" s="56"/>
      <c r="D1961" s="60"/>
      <c r="E1961" s="60"/>
      <c r="F1961" s="59"/>
      <c r="G1961" s="59"/>
      <c r="H1961" s="59"/>
    </row>
    <row r="1962" spans="3:8" x14ac:dyDescent="0.25">
      <c r="C1962" s="56"/>
      <c r="D1962" s="60"/>
      <c r="E1962" s="60"/>
      <c r="F1962" s="59"/>
      <c r="G1962" s="59"/>
      <c r="H1962" s="59"/>
    </row>
    <row r="1963" spans="3:8" x14ac:dyDescent="0.25">
      <c r="C1963" s="56"/>
      <c r="D1963" s="60"/>
      <c r="E1963" s="60"/>
      <c r="F1963" s="59"/>
      <c r="G1963" s="59"/>
      <c r="H1963" s="59"/>
    </row>
    <row r="1964" spans="3:8" x14ac:dyDescent="0.25">
      <c r="C1964" s="56"/>
      <c r="D1964" s="60"/>
      <c r="E1964" s="60"/>
      <c r="F1964" s="59"/>
      <c r="G1964" s="59"/>
      <c r="H1964" s="59"/>
    </row>
    <row r="1965" spans="3:8" x14ac:dyDescent="0.25">
      <c r="C1965" s="56"/>
      <c r="D1965" s="60"/>
      <c r="E1965" s="60"/>
      <c r="F1965" s="59"/>
      <c r="G1965" s="59"/>
      <c r="H1965" s="59"/>
    </row>
    <row r="1966" spans="3:8" x14ac:dyDescent="0.25">
      <c r="C1966" s="56"/>
      <c r="D1966" s="60"/>
      <c r="E1966" s="60"/>
      <c r="F1966" s="59"/>
      <c r="G1966" s="59"/>
      <c r="H1966" s="59"/>
    </row>
    <row r="1967" spans="3:8" x14ac:dyDescent="0.25">
      <c r="C1967" s="56"/>
      <c r="D1967" s="60"/>
      <c r="E1967" s="60"/>
      <c r="F1967" s="59"/>
      <c r="G1967" s="59"/>
      <c r="H1967" s="59"/>
    </row>
    <row r="1968" spans="3:8" x14ac:dyDescent="0.25">
      <c r="C1968" s="56"/>
      <c r="D1968" s="60"/>
      <c r="E1968" s="60"/>
      <c r="F1968" s="59"/>
      <c r="G1968" s="59"/>
      <c r="H1968" s="59"/>
    </row>
    <row r="1969" spans="3:8" x14ac:dyDescent="0.25">
      <c r="C1969" s="56"/>
      <c r="D1969" s="60"/>
      <c r="E1969" s="60"/>
      <c r="F1969" s="59"/>
      <c r="G1969" s="59"/>
      <c r="H1969" s="59"/>
    </row>
    <row r="1970" spans="3:8" x14ac:dyDescent="0.25">
      <c r="C1970" s="56"/>
      <c r="D1970" s="60"/>
      <c r="E1970" s="60"/>
      <c r="F1970" s="59"/>
      <c r="G1970" s="59"/>
      <c r="H1970" s="59"/>
    </row>
    <row r="1971" spans="3:8" x14ac:dyDescent="0.25">
      <c r="C1971" s="56"/>
      <c r="D1971" s="60"/>
      <c r="E1971" s="60"/>
      <c r="F1971" s="59"/>
      <c r="G1971" s="59"/>
      <c r="H1971" s="59"/>
    </row>
    <row r="1972" spans="3:8" x14ac:dyDescent="0.25">
      <c r="C1972" s="56"/>
      <c r="D1972" s="60"/>
      <c r="E1972" s="60"/>
      <c r="F1972" s="59"/>
      <c r="G1972" s="59"/>
      <c r="H1972" s="59"/>
    </row>
    <row r="1973" spans="3:8" x14ac:dyDescent="0.25">
      <c r="C1973" s="56"/>
      <c r="D1973" s="60"/>
      <c r="E1973" s="60"/>
      <c r="F1973" s="59"/>
      <c r="G1973" s="59"/>
      <c r="H1973" s="59"/>
    </row>
    <row r="1974" spans="3:8" x14ac:dyDescent="0.25">
      <c r="C1974" s="56"/>
      <c r="D1974" s="60"/>
      <c r="E1974" s="60"/>
      <c r="F1974" s="59"/>
      <c r="G1974" s="59"/>
      <c r="H1974" s="59"/>
    </row>
    <row r="1975" spans="3:8" x14ac:dyDescent="0.25">
      <c r="C1975" s="56"/>
      <c r="D1975" s="60"/>
      <c r="E1975" s="60"/>
      <c r="F1975" s="59"/>
      <c r="G1975" s="59"/>
      <c r="H1975" s="59"/>
    </row>
    <row r="1976" spans="3:8" x14ac:dyDescent="0.25">
      <c r="C1976" s="56"/>
      <c r="D1976" s="60"/>
      <c r="E1976" s="60"/>
      <c r="F1976" s="59"/>
      <c r="G1976" s="59"/>
      <c r="H1976" s="59"/>
    </row>
    <row r="1977" spans="3:8" x14ac:dyDescent="0.25">
      <c r="C1977" s="56"/>
      <c r="D1977" s="60"/>
      <c r="E1977" s="60"/>
      <c r="F1977" s="59"/>
      <c r="G1977" s="59"/>
      <c r="H1977" s="59"/>
    </row>
    <row r="1978" spans="3:8" x14ac:dyDescent="0.25">
      <c r="C1978" s="56"/>
      <c r="D1978" s="60"/>
      <c r="E1978" s="60"/>
      <c r="F1978" s="59"/>
      <c r="G1978" s="59"/>
      <c r="H1978" s="59"/>
    </row>
    <row r="1979" spans="3:8" x14ac:dyDescent="0.25">
      <c r="C1979" s="56"/>
      <c r="D1979" s="60"/>
      <c r="E1979" s="60"/>
      <c r="F1979" s="59"/>
      <c r="G1979" s="59"/>
      <c r="H1979" s="59"/>
    </row>
    <row r="1980" spans="3:8" x14ac:dyDescent="0.25">
      <c r="C1980" s="56"/>
      <c r="D1980" s="60"/>
      <c r="E1980" s="60"/>
      <c r="F1980" s="59"/>
      <c r="G1980" s="59"/>
      <c r="H1980" s="59"/>
    </row>
    <row r="1981" spans="3:8" x14ac:dyDescent="0.25">
      <c r="C1981" s="56"/>
      <c r="D1981" s="60"/>
      <c r="E1981" s="60"/>
      <c r="F1981" s="59"/>
      <c r="G1981" s="59"/>
      <c r="H1981" s="59"/>
    </row>
    <row r="1982" spans="3:8" x14ac:dyDescent="0.25">
      <c r="C1982" s="56"/>
      <c r="D1982" s="60"/>
      <c r="E1982" s="60"/>
      <c r="F1982" s="59"/>
      <c r="G1982" s="59"/>
      <c r="H1982" s="59"/>
    </row>
    <row r="1983" spans="3:8" x14ac:dyDescent="0.25">
      <c r="C1983" s="56"/>
      <c r="D1983" s="60"/>
      <c r="E1983" s="60"/>
      <c r="F1983" s="59"/>
      <c r="G1983" s="59"/>
      <c r="H1983" s="59"/>
    </row>
    <row r="1984" spans="3:8" x14ac:dyDescent="0.25">
      <c r="C1984" s="56"/>
      <c r="D1984" s="60"/>
      <c r="E1984" s="60"/>
      <c r="F1984" s="59"/>
      <c r="G1984" s="59"/>
      <c r="H1984" s="59"/>
    </row>
    <row r="1985" spans="3:8" x14ac:dyDescent="0.25">
      <c r="C1985" s="56"/>
      <c r="D1985" s="60"/>
      <c r="E1985" s="60"/>
      <c r="F1985" s="59"/>
      <c r="G1985" s="59"/>
      <c r="H1985" s="59"/>
    </row>
    <row r="1986" spans="3:8" x14ac:dyDescent="0.25">
      <c r="C1986" s="56"/>
      <c r="D1986" s="60"/>
      <c r="E1986" s="60"/>
      <c r="F1986" s="59"/>
      <c r="G1986" s="59"/>
      <c r="H1986" s="59"/>
    </row>
    <row r="1987" spans="3:8" x14ac:dyDescent="0.25">
      <c r="C1987" s="56"/>
      <c r="D1987" s="60"/>
      <c r="E1987" s="60"/>
      <c r="F1987" s="59"/>
      <c r="G1987" s="59"/>
      <c r="H1987" s="59"/>
    </row>
    <row r="1988" spans="3:8" x14ac:dyDescent="0.25">
      <c r="C1988" s="56"/>
      <c r="D1988" s="60"/>
      <c r="E1988" s="60"/>
      <c r="F1988" s="59"/>
      <c r="G1988" s="59"/>
      <c r="H1988" s="59"/>
    </row>
    <row r="1989" spans="3:8" x14ac:dyDescent="0.25">
      <c r="C1989" s="56"/>
      <c r="D1989" s="60"/>
      <c r="E1989" s="60"/>
      <c r="F1989" s="59"/>
      <c r="G1989" s="59"/>
      <c r="H1989" s="59"/>
    </row>
    <row r="1990" spans="3:8" x14ac:dyDescent="0.25">
      <c r="C1990" s="56"/>
      <c r="D1990" s="60"/>
      <c r="E1990" s="60"/>
      <c r="F1990" s="59"/>
      <c r="G1990" s="59"/>
      <c r="H1990" s="59"/>
    </row>
    <row r="1991" spans="3:8" x14ac:dyDescent="0.25">
      <c r="C1991" s="56"/>
      <c r="D1991" s="60"/>
      <c r="E1991" s="60"/>
      <c r="F1991" s="59"/>
      <c r="G1991" s="59"/>
      <c r="H1991" s="59"/>
    </row>
    <row r="1992" spans="3:8" x14ac:dyDescent="0.25">
      <c r="C1992" s="56"/>
      <c r="D1992" s="60"/>
      <c r="E1992" s="60"/>
      <c r="F1992" s="59"/>
      <c r="G1992" s="59"/>
      <c r="H1992" s="59"/>
    </row>
    <row r="1993" spans="3:8" x14ac:dyDescent="0.25">
      <c r="C1993" s="56"/>
      <c r="D1993" s="60"/>
      <c r="E1993" s="60"/>
      <c r="F1993" s="59"/>
      <c r="G1993" s="59"/>
      <c r="H1993" s="59"/>
    </row>
    <row r="1994" spans="3:8" x14ac:dyDescent="0.25">
      <c r="C1994" s="56"/>
      <c r="D1994" s="60"/>
      <c r="E1994" s="60"/>
      <c r="F1994" s="59"/>
      <c r="G1994" s="59"/>
      <c r="H1994" s="59"/>
    </row>
    <row r="1995" spans="3:8" x14ac:dyDescent="0.25">
      <c r="C1995" s="56"/>
      <c r="D1995" s="60"/>
      <c r="E1995" s="60"/>
      <c r="F1995" s="59"/>
      <c r="G1995" s="59"/>
      <c r="H1995" s="59"/>
    </row>
    <row r="1996" spans="3:8" x14ac:dyDescent="0.25">
      <c r="C1996" s="56"/>
      <c r="D1996" s="60"/>
      <c r="E1996" s="60"/>
      <c r="F1996" s="59"/>
      <c r="G1996" s="59"/>
      <c r="H1996" s="59"/>
    </row>
    <row r="1997" spans="3:8" x14ac:dyDescent="0.25">
      <c r="C1997" s="56"/>
      <c r="D1997" s="60"/>
      <c r="E1997" s="60"/>
      <c r="F1997" s="59"/>
      <c r="G1997" s="59"/>
      <c r="H1997" s="59"/>
    </row>
    <row r="1998" spans="3:8" x14ac:dyDescent="0.25">
      <c r="C1998" s="56"/>
      <c r="D1998" s="60"/>
      <c r="E1998" s="60"/>
      <c r="F1998" s="59"/>
      <c r="G1998" s="59"/>
      <c r="H1998" s="59"/>
    </row>
    <row r="1999" spans="3:8" x14ac:dyDescent="0.25">
      <c r="C1999" s="56"/>
      <c r="D1999" s="60"/>
      <c r="E1999" s="60"/>
      <c r="F1999" s="59"/>
      <c r="G1999" s="59"/>
      <c r="H1999" s="59"/>
    </row>
    <row r="2000" spans="3:8" x14ac:dyDescent="0.25">
      <c r="C2000" s="56"/>
      <c r="D2000" s="60"/>
      <c r="E2000" s="60"/>
      <c r="F2000" s="59"/>
      <c r="G2000" s="59"/>
      <c r="H2000" s="59"/>
    </row>
    <row r="2001" spans="3:8" x14ac:dyDescent="0.25">
      <c r="C2001" s="56"/>
      <c r="D2001" s="60"/>
      <c r="E2001" s="60"/>
      <c r="F2001" s="59"/>
      <c r="G2001" s="59"/>
      <c r="H2001" s="59"/>
    </row>
    <row r="2002" spans="3:8" x14ac:dyDescent="0.25">
      <c r="C2002" s="56"/>
      <c r="D2002" s="60"/>
      <c r="E2002" s="60"/>
      <c r="F2002" s="59"/>
      <c r="G2002" s="59"/>
      <c r="H2002" s="59"/>
    </row>
    <row r="2003" spans="3:8" x14ac:dyDescent="0.25">
      <c r="C2003" s="56"/>
      <c r="D2003" s="60"/>
      <c r="E2003" s="60"/>
      <c r="F2003" s="59"/>
      <c r="G2003" s="59"/>
      <c r="H2003" s="59"/>
    </row>
    <row r="2004" spans="3:8" x14ac:dyDescent="0.25">
      <c r="C2004" s="56"/>
      <c r="D2004" s="60"/>
      <c r="E2004" s="60"/>
      <c r="F2004" s="59"/>
      <c r="G2004" s="59"/>
      <c r="H2004" s="59"/>
    </row>
    <row r="2005" spans="3:8" x14ac:dyDescent="0.25">
      <c r="C2005" s="56"/>
      <c r="D2005" s="60"/>
      <c r="E2005" s="60"/>
      <c r="F2005" s="59"/>
      <c r="G2005" s="59"/>
      <c r="H2005" s="59"/>
    </row>
    <row r="2006" spans="3:8" x14ac:dyDescent="0.25">
      <c r="C2006" s="56"/>
      <c r="D2006" s="60"/>
      <c r="E2006" s="60"/>
      <c r="F2006" s="59"/>
      <c r="G2006" s="59"/>
      <c r="H2006" s="59"/>
    </row>
    <row r="2007" spans="3:8" x14ac:dyDescent="0.25">
      <c r="C2007" s="56"/>
      <c r="D2007" s="60"/>
      <c r="E2007" s="60"/>
      <c r="F2007" s="59"/>
      <c r="G2007" s="59"/>
      <c r="H2007" s="59"/>
    </row>
    <row r="2008" spans="3:8" x14ac:dyDescent="0.25">
      <c r="C2008" s="56"/>
      <c r="D2008" s="60"/>
      <c r="E2008" s="60"/>
      <c r="F2008" s="59"/>
      <c r="G2008" s="59"/>
      <c r="H2008" s="59"/>
    </row>
    <row r="2009" spans="3:8" x14ac:dyDescent="0.25">
      <c r="C2009" s="56"/>
      <c r="D2009" s="60"/>
      <c r="E2009" s="60"/>
      <c r="F2009" s="59"/>
      <c r="G2009" s="59"/>
      <c r="H2009" s="59"/>
    </row>
    <row r="2010" spans="3:8" x14ac:dyDescent="0.25">
      <c r="C2010" s="56"/>
      <c r="D2010" s="60"/>
      <c r="E2010" s="60"/>
      <c r="F2010" s="59"/>
      <c r="G2010" s="59"/>
      <c r="H2010" s="59"/>
    </row>
    <row r="2011" spans="3:8" x14ac:dyDescent="0.25">
      <c r="C2011" s="56"/>
      <c r="D2011" s="60"/>
      <c r="E2011" s="60"/>
      <c r="F2011" s="59"/>
      <c r="G2011" s="59"/>
      <c r="H2011" s="59"/>
    </row>
    <row r="2012" spans="3:8" x14ac:dyDescent="0.25">
      <c r="C2012" s="56"/>
      <c r="D2012" s="60"/>
      <c r="E2012" s="60"/>
      <c r="F2012" s="59"/>
      <c r="G2012" s="59"/>
      <c r="H2012" s="59"/>
    </row>
    <row r="2013" spans="3:8" x14ac:dyDescent="0.25">
      <c r="C2013" s="56"/>
      <c r="D2013" s="60"/>
      <c r="E2013" s="60"/>
      <c r="F2013" s="59"/>
      <c r="G2013" s="59"/>
      <c r="H2013" s="59"/>
    </row>
    <row r="2014" spans="3:8" x14ac:dyDescent="0.25">
      <c r="C2014" s="56"/>
      <c r="D2014" s="60"/>
      <c r="E2014" s="60"/>
      <c r="F2014" s="59"/>
      <c r="G2014" s="59"/>
      <c r="H2014" s="59"/>
    </row>
    <row r="2015" spans="3:8" x14ac:dyDescent="0.25">
      <c r="C2015" s="56"/>
      <c r="D2015" s="60"/>
      <c r="E2015" s="60"/>
      <c r="F2015" s="59"/>
      <c r="G2015" s="59"/>
      <c r="H2015" s="59"/>
    </row>
    <row r="2016" spans="3:8" x14ac:dyDescent="0.25">
      <c r="C2016" s="56"/>
      <c r="D2016" s="60"/>
      <c r="E2016" s="60"/>
      <c r="F2016" s="59"/>
      <c r="G2016" s="59"/>
      <c r="H2016" s="59"/>
    </row>
    <row r="2017" spans="3:8" x14ac:dyDescent="0.25">
      <c r="C2017" s="56"/>
      <c r="D2017" s="60"/>
      <c r="E2017" s="60"/>
      <c r="F2017" s="59"/>
      <c r="G2017" s="59"/>
      <c r="H2017" s="59"/>
    </row>
    <row r="2018" spans="3:8" x14ac:dyDescent="0.25">
      <c r="C2018" s="56"/>
      <c r="D2018" s="60"/>
      <c r="E2018" s="60"/>
      <c r="F2018" s="59"/>
      <c r="G2018" s="59"/>
      <c r="H2018" s="59"/>
    </row>
    <row r="2019" spans="3:8" x14ac:dyDescent="0.25">
      <c r="C2019" s="56"/>
      <c r="D2019" s="60"/>
      <c r="E2019" s="60"/>
      <c r="F2019" s="59"/>
      <c r="G2019" s="59"/>
      <c r="H2019" s="59"/>
    </row>
    <row r="2020" spans="3:8" x14ac:dyDescent="0.25">
      <c r="C2020" s="56"/>
      <c r="D2020" s="60"/>
      <c r="E2020" s="60"/>
      <c r="F2020" s="59"/>
      <c r="G2020" s="59"/>
      <c r="H2020" s="59"/>
    </row>
    <row r="2021" spans="3:8" x14ac:dyDescent="0.25">
      <c r="C2021" s="56"/>
      <c r="D2021" s="60"/>
      <c r="E2021" s="60"/>
      <c r="F2021" s="59"/>
      <c r="G2021" s="59"/>
      <c r="H2021" s="59"/>
    </row>
    <row r="2022" spans="3:8" x14ac:dyDescent="0.25">
      <c r="C2022" s="56"/>
      <c r="D2022" s="60"/>
      <c r="E2022" s="60"/>
      <c r="F2022" s="59"/>
      <c r="G2022" s="59"/>
      <c r="H2022" s="59"/>
    </row>
    <row r="2023" spans="3:8" x14ac:dyDescent="0.25">
      <c r="C2023" s="56"/>
      <c r="D2023" s="60"/>
      <c r="E2023" s="60"/>
      <c r="F2023" s="59"/>
      <c r="G2023" s="59"/>
      <c r="H2023" s="59"/>
    </row>
    <row r="2024" spans="3:8" x14ac:dyDescent="0.25">
      <c r="C2024" s="56"/>
      <c r="D2024" s="60"/>
      <c r="E2024" s="60"/>
      <c r="F2024" s="59"/>
      <c r="G2024" s="59"/>
      <c r="H2024" s="59"/>
    </row>
    <row r="2025" spans="3:8" x14ac:dyDescent="0.25">
      <c r="C2025" s="56"/>
      <c r="D2025" s="60"/>
      <c r="E2025" s="60"/>
      <c r="F2025" s="59"/>
      <c r="G2025" s="59"/>
      <c r="H2025" s="59"/>
    </row>
    <row r="2026" spans="3:8" x14ac:dyDescent="0.25">
      <c r="C2026" s="56"/>
      <c r="D2026" s="60"/>
      <c r="E2026" s="60"/>
      <c r="F2026" s="59"/>
      <c r="G2026" s="59"/>
      <c r="H2026" s="59"/>
    </row>
    <row r="2027" spans="3:8" x14ac:dyDescent="0.25">
      <c r="C2027" s="56"/>
      <c r="D2027" s="60"/>
      <c r="E2027" s="60"/>
      <c r="F2027" s="59"/>
      <c r="G2027" s="59"/>
      <c r="H2027" s="59"/>
    </row>
    <row r="2028" spans="3:8" x14ac:dyDescent="0.25">
      <c r="C2028" s="56"/>
      <c r="D2028" s="60"/>
      <c r="E2028" s="60"/>
      <c r="F2028" s="59"/>
      <c r="G2028" s="59"/>
      <c r="H2028" s="59"/>
    </row>
    <row r="2029" spans="3:8" x14ac:dyDescent="0.25">
      <c r="C2029" s="56"/>
      <c r="D2029" s="60"/>
      <c r="E2029" s="60"/>
      <c r="F2029" s="59"/>
      <c r="G2029" s="59"/>
      <c r="H2029" s="59"/>
    </row>
    <row r="2030" spans="3:8" x14ac:dyDescent="0.25">
      <c r="C2030" s="56"/>
      <c r="D2030" s="60"/>
      <c r="E2030" s="60"/>
      <c r="F2030" s="59"/>
      <c r="G2030" s="59"/>
      <c r="H2030" s="59"/>
    </row>
    <row r="2031" spans="3:8" x14ac:dyDescent="0.25">
      <c r="C2031" s="56"/>
      <c r="D2031" s="60"/>
      <c r="E2031" s="60"/>
      <c r="F2031" s="59"/>
      <c r="G2031" s="59"/>
      <c r="H2031" s="59"/>
    </row>
    <row r="2032" spans="3:8" x14ac:dyDescent="0.25">
      <c r="C2032" s="56"/>
      <c r="D2032" s="60"/>
      <c r="E2032" s="60"/>
      <c r="F2032" s="59"/>
      <c r="G2032" s="59"/>
      <c r="H2032" s="59"/>
    </row>
    <row r="2033" spans="3:8" x14ac:dyDescent="0.25">
      <c r="C2033" s="56"/>
      <c r="D2033" s="60"/>
      <c r="E2033" s="60"/>
      <c r="F2033" s="59"/>
      <c r="G2033" s="59"/>
      <c r="H2033" s="59"/>
    </row>
    <row r="2034" spans="3:8" x14ac:dyDescent="0.25">
      <c r="C2034" s="56"/>
      <c r="D2034" s="60"/>
      <c r="E2034" s="60"/>
      <c r="F2034" s="59"/>
      <c r="G2034" s="59"/>
      <c r="H2034" s="59"/>
    </row>
    <row r="2035" spans="3:8" x14ac:dyDescent="0.25">
      <c r="C2035" s="56"/>
      <c r="D2035" s="60"/>
      <c r="E2035" s="60"/>
      <c r="F2035" s="59"/>
      <c r="G2035" s="59"/>
      <c r="H2035" s="59"/>
    </row>
    <row r="2036" spans="3:8" x14ac:dyDescent="0.25">
      <c r="C2036" s="56"/>
      <c r="D2036" s="60"/>
      <c r="E2036" s="60"/>
      <c r="F2036" s="59"/>
      <c r="G2036" s="59"/>
      <c r="H2036" s="59"/>
    </row>
    <row r="2037" spans="3:8" x14ac:dyDescent="0.25">
      <c r="C2037" s="56"/>
      <c r="D2037" s="60"/>
      <c r="E2037" s="60"/>
      <c r="F2037" s="59"/>
      <c r="G2037" s="59"/>
      <c r="H2037" s="59"/>
    </row>
    <row r="2038" spans="3:8" x14ac:dyDescent="0.25">
      <c r="C2038" s="56"/>
      <c r="D2038" s="60"/>
      <c r="E2038" s="60"/>
      <c r="F2038" s="59"/>
      <c r="G2038" s="59"/>
      <c r="H2038" s="59"/>
    </row>
    <row r="2039" spans="3:8" x14ac:dyDescent="0.25">
      <c r="C2039" s="56"/>
      <c r="D2039" s="60"/>
      <c r="E2039" s="60"/>
      <c r="F2039" s="59"/>
      <c r="G2039" s="59"/>
      <c r="H2039" s="59"/>
    </row>
    <row r="2040" spans="3:8" x14ac:dyDescent="0.25">
      <c r="C2040" s="56"/>
      <c r="D2040" s="60"/>
      <c r="E2040" s="60"/>
      <c r="F2040" s="59"/>
      <c r="G2040" s="59"/>
      <c r="H2040" s="59"/>
    </row>
    <row r="2041" spans="3:8" x14ac:dyDescent="0.25">
      <c r="C2041" s="56"/>
      <c r="D2041" s="60"/>
      <c r="E2041" s="60"/>
      <c r="F2041" s="59"/>
      <c r="G2041" s="59"/>
      <c r="H2041" s="59"/>
    </row>
    <row r="2042" spans="3:8" x14ac:dyDescent="0.25">
      <c r="C2042" s="56"/>
      <c r="D2042" s="60"/>
      <c r="E2042" s="60"/>
      <c r="F2042" s="59"/>
      <c r="G2042" s="59"/>
      <c r="H2042" s="59"/>
    </row>
    <row r="2043" spans="3:8" x14ac:dyDescent="0.25">
      <c r="C2043" s="56"/>
      <c r="D2043" s="60"/>
      <c r="E2043" s="60"/>
      <c r="F2043" s="59"/>
      <c r="G2043" s="59"/>
      <c r="H2043" s="59"/>
    </row>
    <row r="2044" spans="3:8" x14ac:dyDescent="0.25">
      <c r="C2044" s="56"/>
      <c r="D2044" s="60"/>
      <c r="E2044" s="60"/>
      <c r="F2044" s="59"/>
      <c r="G2044" s="59"/>
      <c r="H2044" s="59"/>
    </row>
    <row r="2045" spans="3:8" x14ac:dyDescent="0.25">
      <c r="C2045" s="56"/>
      <c r="D2045" s="60"/>
      <c r="E2045" s="60"/>
      <c r="F2045" s="59"/>
      <c r="G2045" s="59"/>
      <c r="H2045" s="59"/>
    </row>
    <row r="2046" spans="3:8" x14ac:dyDescent="0.25">
      <c r="C2046" s="56"/>
      <c r="D2046" s="60"/>
      <c r="E2046" s="60"/>
      <c r="F2046" s="59"/>
      <c r="G2046" s="59"/>
      <c r="H2046" s="59"/>
    </row>
    <row r="2047" spans="3:8" x14ac:dyDescent="0.25">
      <c r="C2047" s="56"/>
      <c r="D2047" s="60"/>
      <c r="E2047" s="60"/>
      <c r="F2047" s="59"/>
      <c r="G2047" s="59"/>
      <c r="H2047" s="59"/>
    </row>
    <row r="2048" spans="3:8" x14ac:dyDescent="0.25">
      <c r="C2048" s="56"/>
      <c r="D2048" s="60"/>
      <c r="E2048" s="60"/>
      <c r="F2048" s="59"/>
      <c r="G2048" s="59"/>
      <c r="H2048" s="59"/>
    </row>
    <row r="2049" spans="3:8" x14ac:dyDescent="0.25">
      <c r="C2049" s="56"/>
      <c r="D2049" s="60"/>
      <c r="E2049" s="60"/>
      <c r="F2049" s="59"/>
      <c r="G2049" s="59"/>
      <c r="H2049" s="59"/>
    </row>
    <row r="2050" spans="3:8" x14ac:dyDescent="0.25">
      <c r="C2050" s="56"/>
      <c r="D2050" s="60"/>
      <c r="E2050" s="60"/>
      <c r="F2050" s="59"/>
      <c r="G2050" s="59"/>
      <c r="H2050" s="59"/>
    </row>
    <row r="2051" spans="3:8" x14ac:dyDescent="0.25">
      <c r="C2051" s="56"/>
      <c r="D2051" s="60"/>
      <c r="E2051" s="60"/>
      <c r="F2051" s="59"/>
      <c r="G2051" s="59"/>
      <c r="H2051" s="59"/>
    </row>
    <row r="2052" spans="3:8" x14ac:dyDescent="0.25">
      <c r="C2052" s="56"/>
      <c r="D2052" s="60"/>
      <c r="E2052" s="60"/>
      <c r="F2052" s="59"/>
      <c r="G2052" s="59"/>
      <c r="H2052" s="59"/>
    </row>
    <row r="2053" spans="3:8" x14ac:dyDescent="0.25">
      <c r="C2053" s="56"/>
      <c r="D2053" s="60"/>
      <c r="E2053" s="60"/>
      <c r="F2053" s="59"/>
      <c r="G2053" s="59"/>
      <c r="H2053" s="59"/>
    </row>
    <row r="2054" spans="3:8" x14ac:dyDescent="0.25">
      <c r="C2054" s="56"/>
      <c r="D2054" s="60"/>
      <c r="E2054" s="60"/>
      <c r="F2054" s="59"/>
      <c r="G2054" s="59"/>
      <c r="H2054" s="59"/>
    </row>
    <row r="2055" spans="3:8" x14ac:dyDescent="0.25">
      <c r="C2055" s="56"/>
      <c r="D2055" s="60"/>
      <c r="E2055" s="60"/>
      <c r="F2055" s="59"/>
      <c r="G2055" s="59"/>
      <c r="H2055" s="59"/>
    </row>
    <row r="2056" spans="3:8" x14ac:dyDescent="0.25">
      <c r="C2056" s="56"/>
      <c r="D2056" s="60"/>
      <c r="E2056" s="60"/>
      <c r="F2056" s="59"/>
      <c r="G2056" s="59"/>
      <c r="H2056" s="59"/>
    </row>
    <row r="2057" spans="3:8" x14ac:dyDescent="0.25">
      <c r="C2057" s="56"/>
      <c r="D2057" s="60"/>
      <c r="E2057" s="60"/>
      <c r="F2057" s="59"/>
      <c r="G2057" s="59"/>
      <c r="H2057" s="59"/>
    </row>
    <row r="2058" spans="3:8" x14ac:dyDescent="0.25">
      <c r="C2058" s="56"/>
      <c r="D2058" s="60"/>
      <c r="E2058" s="60"/>
      <c r="F2058" s="59"/>
      <c r="G2058" s="59"/>
      <c r="H2058" s="59"/>
    </row>
    <row r="2059" spans="3:8" x14ac:dyDescent="0.25">
      <c r="C2059" s="56"/>
      <c r="D2059" s="60"/>
      <c r="E2059" s="60"/>
      <c r="F2059" s="59"/>
      <c r="G2059" s="59"/>
      <c r="H2059" s="59"/>
    </row>
    <row r="2060" spans="3:8" x14ac:dyDescent="0.25">
      <c r="C2060" s="56"/>
      <c r="D2060" s="60"/>
      <c r="E2060" s="60"/>
      <c r="F2060" s="59"/>
      <c r="G2060" s="59"/>
      <c r="H2060" s="59"/>
    </row>
    <row r="2061" spans="3:8" x14ac:dyDescent="0.25">
      <c r="C2061" s="56"/>
      <c r="D2061" s="60"/>
      <c r="E2061" s="60"/>
      <c r="F2061" s="59"/>
      <c r="G2061" s="59"/>
      <c r="H2061" s="59"/>
    </row>
    <row r="2062" spans="3:8" x14ac:dyDescent="0.25">
      <c r="C2062" s="56"/>
      <c r="D2062" s="60"/>
      <c r="E2062" s="60"/>
      <c r="F2062" s="59"/>
      <c r="G2062" s="59"/>
      <c r="H2062" s="59"/>
    </row>
    <row r="2063" spans="3:8" x14ac:dyDescent="0.25">
      <c r="C2063" s="56"/>
      <c r="D2063" s="60"/>
      <c r="E2063" s="60"/>
      <c r="F2063" s="59"/>
      <c r="G2063" s="59"/>
      <c r="H2063" s="59"/>
    </row>
    <row r="2064" spans="3:8" x14ac:dyDescent="0.25">
      <c r="C2064" s="56"/>
      <c r="D2064" s="60"/>
      <c r="E2064" s="60"/>
      <c r="F2064" s="59"/>
      <c r="G2064" s="59"/>
      <c r="H2064" s="59"/>
    </row>
    <row r="2065" spans="3:8" x14ac:dyDescent="0.25">
      <c r="C2065" s="56"/>
      <c r="D2065" s="60"/>
      <c r="E2065" s="60"/>
      <c r="F2065" s="59"/>
      <c r="G2065" s="59"/>
      <c r="H2065" s="59"/>
    </row>
    <row r="2066" spans="3:8" x14ac:dyDescent="0.25">
      <c r="C2066" s="56"/>
      <c r="D2066" s="60"/>
      <c r="E2066" s="60"/>
      <c r="F2066" s="59"/>
      <c r="G2066" s="59"/>
      <c r="H2066" s="59"/>
    </row>
    <row r="2067" spans="3:8" x14ac:dyDescent="0.25">
      <c r="C2067" s="56"/>
      <c r="D2067" s="60"/>
      <c r="E2067" s="60"/>
      <c r="F2067" s="59"/>
      <c r="G2067" s="59"/>
      <c r="H2067" s="59"/>
    </row>
    <row r="2068" spans="3:8" x14ac:dyDescent="0.25">
      <c r="C2068" s="56"/>
      <c r="D2068" s="60"/>
      <c r="E2068" s="60"/>
      <c r="F2068" s="59"/>
      <c r="G2068" s="59"/>
      <c r="H2068" s="59"/>
    </row>
    <row r="2069" spans="3:8" x14ac:dyDescent="0.25">
      <c r="C2069" s="56"/>
      <c r="D2069" s="60"/>
      <c r="E2069" s="60"/>
      <c r="F2069" s="59"/>
      <c r="G2069" s="59"/>
      <c r="H2069" s="59"/>
    </row>
    <row r="2070" spans="3:8" x14ac:dyDescent="0.25">
      <c r="C2070" s="56"/>
      <c r="D2070" s="60"/>
      <c r="E2070" s="60"/>
      <c r="F2070" s="59"/>
      <c r="G2070" s="59"/>
      <c r="H2070" s="59"/>
    </row>
    <row r="2071" spans="3:8" x14ac:dyDescent="0.25">
      <c r="C2071" s="56"/>
      <c r="D2071" s="60"/>
      <c r="E2071" s="60"/>
      <c r="F2071" s="59"/>
      <c r="G2071" s="59"/>
      <c r="H2071" s="59"/>
    </row>
    <row r="2072" spans="3:8" x14ac:dyDescent="0.25">
      <c r="C2072" s="56"/>
      <c r="D2072" s="60"/>
      <c r="E2072" s="60"/>
      <c r="F2072" s="59"/>
      <c r="G2072" s="59"/>
      <c r="H2072" s="59"/>
    </row>
    <row r="2073" spans="3:8" x14ac:dyDescent="0.25">
      <c r="C2073" s="56"/>
      <c r="D2073" s="60"/>
      <c r="E2073" s="60"/>
      <c r="F2073" s="59"/>
      <c r="G2073" s="59"/>
      <c r="H2073" s="59"/>
    </row>
    <row r="2074" spans="3:8" x14ac:dyDescent="0.25">
      <c r="C2074" s="56"/>
      <c r="D2074" s="60"/>
      <c r="E2074" s="60"/>
      <c r="F2074" s="59"/>
      <c r="G2074" s="59"/>
      <c r="H2074" s="59"/>
    </row>
    <row r="2075" spans="3:8" x14ac:dyDescent="0.25">
      <c r="C2075" s="56"/>
      <c r="D2075" s="60"/>
      <c r="E2075" s="60"/>
      <c r="F2075" s="59"/>
      <c r="G2075" s="59"/>
      <c r="H2075" s="59"/>
    </row>
    <row r="2076" spans="3:8" x14ac:dyDescent="0.25">
      <c r="C2076" s="56"/>
      <c r="D2076" s="60"/>
      <c r="E2076" s="60"/>
      <c r="F2076" s="59"/>
      <c r="G2076" s="59"/>
      <c r="H2076" s="59"/>
    </row>
    <row r="2077" spans="3:8" x14ac:dyDescent="0.25">
      <c r="C2077" s="56"/>
      <c r="D2077" s="60"/>
      <c r="E2077" s="60"/>
      <c r="F2077" s="59"/>
      <c r="G2077" s="59"/>
      <c r="H2077" s="59"/>
    </row>
    <row r="2078" spans="3:8" x14ac:dyDescent="0.25">
      <c r="C2078" s="56"/>
      <c r="D2078" s="60"/>
      <c r="E2078" s="60"/>
      <c r="F2078" s="59"/>
      <c r="G2078" s="59"/>
      <c r="H2078" s="59"/>
    </row>
    <row r="2079" spans="3:8" x14ac:dyDescent="0.25">
      <c r="C2079" s="56"/>
      <c r="D2079" s="60"/>
      <c r="E2079" s="60"/>
      <c r="F2079" s="59"/>
      <c r="G2079" s="59"/>
      <c r="H2079" s="59"/>
    </row>
    <row r="2080" spans="3:8" x14ac:dyDescent="0.25">
      <c r="C2080" s="56"/>
      <c r="D2080" s="60"/>
      <c r="E2080" s="60"/>
      <c r="F2080" s="59"/>
      <c r="G2080" s="59"/>
      <c r="H2080" s="59"/>
    </row>
    <row r="2081" spans="3:8" x14ac:dyDescent="0.25">
      <c r="C2081" s="56"/>
      <c r="D2081" s="60"/>
      <c r="E2081" s="60"/>
      <c r="F2081" s="59"/>
      <c r="G2081" s="59"/>
      <c r="H2081" s="59"/>
    </row>
    <row r="2082" spans="3:8" x14ac:dyDescent="0.25">
      <c r="C2082" s="56"/>
      <c r="D2082" s="60"/>
      <c r="E2082" s="60"/>
      <c r="F2082" s="59"/>
      <c r="G2082" s="59"/>
      <c r="H2082" s="59"/>
    </row>
    <row r="2083" spans="3:8" x14ac:dyDescent="0.25">
      <c r="C2083" s="56"/>
      <c r="D2083" s="60"/>
      <c r="E2083" s="60"/>
      <c r="F2083" s="59"/>
      <c r="G2083" s="59"/>
      <c r="H2083" s="59"/>
    </row>
    <row r="2084" spans="3:8" x14ac:dyDescent="0.25">
      <c r="C2084" s="56"/>
      <c r="D2084" s="60"/>
      <c r="E2084" s="60"/>
      <c r="F2084" s="59"/>
      <c r="G2084" s="59"/>
      <c r="H2084" s="59"/>
    </row>
    <row r="2085" spans="3:8" x14ac:dyDescent="0.25">
      <c r="C2085" s="56"/>
      <c r="D2085" s="60"/>
      <c r="E2085" s="60"/>
      <c r="F2085" s="59"/>
      <c r="G2085" s="59"/>
      <c r="H2085" s="59"/>
    </row>
    <row r="2086" spans="3:8" x14ac:dyDescent="0.25">
      <c r="C2086" s="56"/>
      <c r="D2086" s="60"/>
      <c r="E2086" s="60"/>
      <c r="F2086" s="59"/>
      <c r="G2086" s="59"/>
      <c r="H2086" s="59"/>
    </row>
    <row r="2087" spans="3:8" x14ac:dyDescent="0.25">
      <c r="C2087" s="56"/>
      <c r="D2087" s="60"/>
      <c r="E2087" s="60"/>
      <c r="F2087" s="59"/>
      <c r="G2087" s="59"/>
      <c r="H2087" s="59"/>
    </row>
    <row r="2088" spans="3:8" x14ac:dyDescent="0.25">
      <c r="C2088" s="56"/>
      <c r="D2088" s="60"/>
      <c r="E2088" s="60"/>
      <c r="F2088" s="59"/>
      <c r="G2088" s="59"/>
      <c r="H2088" s="59"/>
    </row>
    <row r="2089" spans="3:8" x14ac:dyDescent="0.25">
      <c r="C2089" s="56"/>
      <c r="D2089" s="60"/>
      <c r="E2089" s="60"/>
      <c r="F2089" s="59"/>
      <c r="G2089" s="59"/>
      <c r="H2089" s="59"/>
    </row>
    <row r="2090" spans="3:8" x14ac:dyDescent="0.25">
      <c r="C2090" s="56"/>
      <c r="D2090" s="60"/>
      <c r="E2090" s="60"/>
      <c r="F2090" s="59"/>
      <c r="G2090" s="59"/>
      <c r="H2090" s="59"/>
    </row>
    <row r="2091" spans="3:8" x14ac:dyDescent="0.25">
      <c r="C2091" s="56"/>
      <c r="D2091" s="60"/>
      <c r="E2091" s="60"/>
      <c r="F2091" s="59"/>
      <c r="G2091" s="59"/>
      <c r="H2091" s="59"/>
    </row>
    <row r="2092" spans="3:8" x14ac:dyDescent="0.25">
      <c r="C2092" s="56"/>
      <c r="D2092" s="60"/>
      <c r="E2092" s="60"/>
      <c r="F2092" s="59"/>
      <c r="G2092" s="59"/>
      <c r="H2092" s="59"/>
    </row>
    <row r="2093" spans="3:8" x14ac:dyDescent="0.25">
      <c r="C2093" s="56"/>
      <c r="D2093" s="60"/>
      <c r="E2093" s="60"/>
      <c r="F2093" s="59"/>
      <c r="G2093" s="59"/>
      <c r="H2093" s="59"/>
    </row>
    <row r="2094" spans="3:8" x14ac:dyDescent="0.25">
      <c r="C2094" s="56"/>
      <c r="D2094" s="60"/>
      <c r="E2094" s="60"/>
      <c r="F2094" s="59"/>
      <c r="G2094" s="59"/>
      <c r="H2094" s="59"/>
    </row>
    <row r="2095" spans="3:8" x14ac:dyDescent="0.25">
      <c r="C2095" s="56"/>
      <c r="D2095" s="60"/>
      <c r="E2095" s="60"/>
      <c r="F2095" s="59"/>
      <c r="G2095" s="59"/>
      <c r="H2095" s="59"/>
    </row>
    <row r="2096" spans="3:8" x14ac:dyDescent="0.25">
      <c r="C2096" s="56"/>
      <c r="D2096" s="60"/>
      <c r="E2096" s="60"/>
      <c r="F2096" s="59"/>
      <c r="G2096" s="59"/>
      <c r="H2096" s="59"/>
    </row>
    <row r="2097" spans="3:8" x14ac:dyDescent="0.25">
      <c r="C2097" s="56"/>
      <c r="D2097" s="60"/>
      <c r="E2097" s="60"/>
      <c r="F2097" s="59"/>
      <c r="G2097" s="59"/>
      <c r="H2097" s="59"/>
    </row>
    <row r="2098" spans="3:8" x14ac:dyDescent="0.25">
      <c r="C2098" s="56"/>
      <c r="D2098" s="60"/>
      <c r="E2098" s="60"/>
      <c r="F2098" s="59"/>
      <c r="G2098" s="59"/>
      <c r="H2098" s="59"/>
    </row>
    <row r="2099" spans="3:8" x14ac:dyDescent="0.25">
      <c r="C2099" s="56"/>
      <c r="D2099" s="60"/>
      <c r="E2099" s="60"/>
      <c r="F2099" s="59"/>
      <c r="G2099" s="59"/>
      <c r="H2099" s="59"/>
    </row>
    <row r="2100" spans="3:8" x14ac:dyDescent="0.25">
      <c r="C2100" s="56"/>
      <c r="D2100" s="60"/>
      <c r="E2100" s="60"/>
      <c r="F2100" s="59"/>
      <c r="G2100" s="59"/>
      <c r="H2100" s="59"/>
    </row>
    <row r="2101" spans="3:8" x14ac:dyDescent="0.25">
      <c r="C2101" s="56"/>
      <c r="D2101" s="60"/>
      <c r="E2101" s="60"/>
      <c r="F2101" s="59"/>
      <c r="G2101" s="59"/>
      <c r="H2101" s="59"/>
    </row>
    <row r="2102" spans="3:8" x14ac:dyDescent="0.25">
      <c r="C2102" s="56"/>
      <c r="D2102" s="60"/>
      <c r="E2102" s="60"/>
      <c r="F2102" s="59"/>
      <c r="G2102" s="59"/>
      <c r="H2102" s="59"/>
    </row>
    <row r="2103" spans="3:8" x14ac:dyDescent="0.25">
      <c r="C2103" s="56"/>
      <c r="D2103" s="60"/>
      <c r="E2103" s="60"/>
      <c r="F2103" s="59"/>
      <c r="G2103" s="59"/>
      <c r="H2103" s="59"/>
    </row>
    <row r="2104" spans="3:8" x14ac:dyDescent="0.25">
      <c r="C2104" s="56"/>
      <c r="D2104" s="60"/>
      <c r="E2104" s="60"/>
      <c r="F2104" s="59"/>
      <c r="G2104" s="59"/>
      <c r="H2104" s="59"/>
    </row>
    <row r="2105" spans="3:8" x14ac:dyDescent="0.25">
      <c r="C2105" s="56"/>
      <c r="D2105" s="60"/>
      <c r="E2105" s="60"/>
      <c r="F2105" s="59"/>
      <c r="G2105" s="59"/>
      <c r="H2105" s="59"/>
    </row>
    <row r="2106" spans="3:8" x14ac:dyDescent="0.25">
      <c r="C2106" s="56"/>
      <c r="D2106" s="60"/>
      <c r="E2106" s="60"/>
      <c r="F2106" s="59"/>
      <c r="G2106" s="59"/>
      <c r="H2106" s="59"/>
    </row>
    <row r="2107" spans="3:8" x14ac:dyDescent="0.25">
      <c r="C2107" s="56"/>
      <c r="D2107" s="60"/>
      <c r="E2107" s="60"/>
      <c r="F2107" s="59"/>
      <c r="G2107" s="59"/>
      <c r="H2107" s="59"/>
    </row>
    <row r="2108" spans="3:8" x14ac:dyDescent="0.25">
      <c r="C2108" s="56"/>
      <c r="D2108" s="60"/>
      <c r="E2108" s="60"/>
      <c r="F2108" s="59"/>
      <c r="G2108" s="59"/>
      <c r="H2108" s="59"/>
    </row>
    <row r="2109" spans="3:8" x14ac:dyDescent="0.25">
      <c r="C2109" s="56"/>
      <c r="D2109" s="60"/>
      <c r="E2109" s="60"/>
      <c r="F2109" s="59"/>
      <c r="G2109" s="59"/>
      <c r="H2109" s="59"/>
    </row>
    <row r="2110" spans="3:8" x14ac:dyDescent="0.25">
      <c r="C2110" s="56"/>
      <c r="D2110" s="60"/>
      <c r="E2110" s="60"/>
      <c r="F2110" s="59"/>
      <c r="G2110" s="59"/>
      <c r="H2110" s="59"/>
    </row>
    <row r="2111" spans="3:8" x14ac:dyDescent="0.25">
      <c r="C2111" s="56"/>
      <c r="D2111" s="60"/>
      <c r="E2111" s="60"/>
      <c r="F2111" s="59"/>
      <c r="G2111" s="59"/>
      <c r="H2111" s="59"/>
    </row>
    <row r="2112" spans="3:8" x14ac:dyDescent="0.25">
      <c r="C2112" s="56"/>
      <c r="D2112" s="60"/>
      <c r="E2112" s="60"/>
      <c r="F2112" s="59"/>
      <c r="G2112" s="59"/>
      <c r="H2112" s="59"/>
    </row>
    <row r="2113" spans="3:8" x14ac:dyDescent="0.25">
      <c r="C2113" s="56"/>
      <c r="D2113" s="60"/>
      <c r="E2113" s="60"/>
      <c r="F2113" s="59"/>
      <c r="G2113" s="59"/>
      <c r="H2113" s="59"/>
    </row>
    <row r="2114" spans="3:8" x14ac:dyDescent="0.25">
      <c r="C2114" s="56"/>
      <c r="D2114" s="60"/>
      <c r="E2114" s="60"/>
      <c r="F2114" s="59"/>
      <c r="G2114" s="59"/>
      <c r="H2114" s="59"/>
    </row>
    <row r="2115" spans="3:8" x14ac:dyDescent="0.25">
      <c r="C2115" s="56"/>
      <c r="D2115" s="60"/>
      <c r="E2115" s="60"/>
      <c r="F2115" s="59"/>
      <c r="G2115" s="59"/>
      <c r="H2115" s="59"/>
    </row>
    <row r="2116" spans="3:8" x14ac:dyDescent="0.25">
      <c r="C2116" s="56"/>
      <c r="D2116" s="60"/>
      <c r="E2116" s="60"/>
      <c r="F2116" s="59"/>
      <c r="G2116" s="59"/>
      <c r="H2116" s="59"/>
    </row>
    <row r="2117" spans="3:8" x14ac:dyDescent="0.25">
      <c r="C2117" s="56"/>
      <c r="D2117" s="60"/>
      <c r="E2117" s="60"/>
      <c r="F2117" s="59"/>
      <c r="G2117" s="59"/>
      <c r="H2117" s="59"/>
    </row>
    <row r="2118" spans="3:8" x14ac:dyDescent="0.25">
      <c r="C2118" s="56"/>
      <c r="D2118" s="60"/>
      <c r="E2118" s="60"/>
      <c r="F2118" s="59"/>
      <c r="G2118" s="59"/>
      <c r="H2118" s="59"/>
    </row>
    <row r="2119" spans="3:8" x14ac:dyDescent="0.25">
      <c r="C2119" s="56"/>
      <c r="D2119" s="60"/>
      <c r="E2119" s="60"/>
      <c r="F2119" s="59"/>
      <c r="G2119" s="59"/>
      <c r="H2119" s="59"/>
    </row>
    <row r="2120" spans="3:8" x14ac:dyDescent="0.25">
      <c r="C2120" s="56"/>
      <c r="D2120" s="60"/>
      <c r="E2120" s="60"/>
      <c r="F2120" s="59"/>
      <c r="G2120" s="59"/>
      <c r="H2120" s="59"/>
    </row>
    <row r="2121" spans="3:8" x14ac:dyDescent="0.25">
      <c r="C2121" s="56"/>
      <c r="D2121" s="60"/>
      <c r="E2121" s="60"/>
      <c r="F2121" s="59"/>
      <c r="G2121" s="59"/>
      <c r="H2121" s="59"/>
    </row>
    <row r="2122" spans="3:8" x14ac:dyDescent="0.25">
      <c r="C2122" s="56"/>
      <c r="D2122" s="60"/>
      <c r="E2122" s="60"/>
      <c r="F2122" s="59"/>
      <c r="G2122" s="59"/>
      <c r="H2122" s="59"/>
    </row>
    <row r="2123" spans="3:8" x14ac:dyDescent="0.25">
      <c r="C2123" s="56"/>
      <c r="D2123" s="60"/>
      <c r="E2123" s="60"/>
      <c r="F2123" s="59"/>
      <c r="G2123" s="59"/>
      <c r="H2123" s="59"/>
    </row>
    <row r="2124" spans="3:8" x14ac:dyDescent="0.25">
      <c r="C2124" s="56"/>
      <c r="D2124" s="60"/>
      <c r="E2124" s="60"/>
      <c r="F2124" s="59"/>
      <c r="G2124" s="59"/>
      <c r="H2124" s="59"/>
    </row>
    <row r="2125" spans="3:8" x14ac:dyDescent="0.25">
      <c r="C2125" s="56"/>
      <c r="D2125" s="60"/>
      <c r="E2125" s="60"/>
      <c r="F2125" s="59"/>
      <c r="G2125" s="59"/>
      <c r="H2125" s="59"/>
    </row>
    <row r="2126" spans="3:8" x14ac:dyDescent="0.25">
      <c r="C2126" s="56"/>
      <c r="D2126" s="60"/>
      <c r="E2126" s="60"/>
      <c r="F2126" s="59"/>
      <c r="G2126" s="59"/>
      <c r="H2126" s="59"/>
    </row>
    <row r="2127" spans="3:8" x14ac:dyDescent="0.25">
      <c r="C2127" s="56"/>
      <c r="D2127" s="60"/>
      <c r="E2127" s="60"/>
      <c r="F2127" s="59"/>
      <c r="G2127" s="59"/>
      <c r="H2127" s="59"/>
    </row>
    <row r="2128" spans="3:8" x14ac:dyDescent="0.25">
      <c r="C2128" s="56"/>
      <c r="D2128" s="60"/>
      <c r="E2128" s="60"/>
      <c r="F2128" s="59"/>
      <c r="G2128" s="59"/>
      <c r="H2128" s="59"/>
    </row>
    <row r="2129" spans="3:8" x14ac:dyDescent="0.25">
      <c r="C2129" s="56"/>
      <c r="D2129" s="60"/>
      <c r="E2129" s="60"/>
      <c r="F2129" s="59"/>
      <c r="G2129" s="59"/>
      <c r="H2129" s="59"/>
    </row>
    <row r="2130" spans="3:8" x14ac:dyDescent="0.25">
      <c r="C2130" s="56"/>
      <c r="D2130" s="60"/>
      <c r="E2130" s="60"/>
      <c r="F2130" s="59"/>
      <c r="G2130" s="59"/>
      <c r="H2130" s="59"/>
    </row>
    <row r="2131" spans="3:8" x14ac:dyDescent="0.25">
      <c r="C2131" s="56"/>
      <c r="D2131" s="60"/>
      <c r="E2131" s="60"/>
      <c r="F2131" s="59"/>
      <c r="G2131" s="59"/>
      <c r="H2131" s="59"/>
    </row>
    <row r="2132" spans="3:8" x14ac:dyDescent="0.25">
      <c r="C2132" s="56"/>
      <c r="D2132" s="60"/>
      <c r="E2132" s="60"/>
      <c r="F2132" s="59"/>
      <c r="G2132" s="59"/>
      <c r="H2132" s="59"/>
    </row>
    <row r="2133" spans="3:8" x14ac:dyDescent="0.25">
      <c r="C2133" s="56"/>
      <c r="D2133" s="60"/>
      <c r="E2133" s="60"/>
      <c r="F2133" s="59"/>
      <c r="G2133" s="59"/>
      <c r="H2133" s="59"/>
    </row>
    <row r="2134" spans="3:8" x14ac:dyDescent="0.25">
      <c r="C2134" s="56"/>
      <c r="D2134" s="60"/>
      <c r="E2134" s="60"/>
      <c r="F2134" s="59"/>
      <c r="G2134" s="59"/>
      <c r="H2134" s="59"/>
    </row>
    <row r="2135" spans="3:8" x14ac:dyDescent="0.25">
      <c r="C2135" s="56"/>
      <c r="D2135" s="60"/>
      <c r="E2135" s="60"/>
      <c r="F2135" s="59"/>
      <c r="G2135" s="59"/>
      <c r="H2135" s="59"/>
    </row>
    <row r="2136" spans="3:8" x14ac:dyDescent="0.25">
      <c r="C2136" s="56"/>
      <c r="D2136" s="60"/>
      <c r="E2136" s="60"/>
      <c r="F2136" s="59"/>
      <c r="G2136" s="59"/>
      <c r="H2136" s="59"/>
    </row>
    <row r="2137" spans="3:8" x14ac:dyDescent="0.25">
      <c r="C2137" s="56"/>
      <c r="D2137" s="60"/>
      <c r="E2137" s="60"/>
      <c r="F2137" s="59"/>
      <c r="G2137" s="59"/>
      <c r="H2137" s="59"/>
    </row>
    <row r="2138" spans="3:8" x14ac:dyDescent="0.25">
      <c r="C2138" s="56"/>
      <c r="D2138" s="60"/>
      <c r="E2138" s="60"/>
      <c r="F2138" s="59"/>
      <c r="G2138" s="59"/>
      <c r="H2138" s="59"/>
    </row>
    <row r="2139" spans="3:8" x14ac:dyDescent="0.25">
      <c r="C2139" s="56"/>
      <c r="D2139" s="60"/>
      <c r="E2139" s="60"/>
      <c r="F2139" s="59"/>
      <c r="G2139" s="59"/>
      <c r="H2139" s="59"/>
    </row>
    <row r="2140" spans="3:8" x14ac:dyDescent="0.25">
      <c r="C2140" s="56"/>
      <c r="D2140" s="60"/>
      <c r="E2140" s="60"/>
      <c r="F2140" s="59"/>
      <c r="G2140" s="59"/>
      <c r="H2140" s="59"/>
    </row>
    <row r="2141" spans="3:8" x14ac:dyDescent="0.25">
      <c r="C2141" s="56"/>
      <c r="D2141" s="60"/>
      <c r="E2141" s="60"/>
      <c r="F2141" s="59"/>
      <c r="G2141" s="59"/>
      <c r="H2141" s="59"/>
    </row>
    <row r="2142" spans="3:8" x14ac:dyDescent="0.25">
      <c r="C2142" s="56"/>
      <c r="D2142" s="60"/>
      <c r="E2142" s="60"/>
      <c r="F2142" s="59"/>
      <c r="G2142" s="59"/>
      <c r="H2142" s="59"/>
    </row>
    <row r="2143" spans="3:8" x14ac:dyDescent="0.25">
      <c r="C2143" s="56"/>
      <c r="D2143" s="60"/>
      <c r="E2143" s="60"/>
      <c r="F2143" s="59"/>
      <c r="G2143" s="59"/>
      <c r="H2143" s="59"/>
    </row>
    <row r="2144" spans="3:8" x14ac:dyDescent="0.25">
      <c r="C2144" s="56"/>
      <c r="D2144" s="60"/>
      <c r="E2144" s="60"/>
      <c r="F2144" s="59"/>
      <c r="G2144" s="59"/>
      <c r="H2144" s="59"/>
    </row>
    <row r="2145" spans="3:8" x14ac:dyDescent="0.25">
      <c r="C2145" s="56"/>
      <c r="D2145" s="60"/>
      <c r="E2145" s="60"/>
      <c r="F2145" s="59"/>
      <c r="G2145" s="59"/>
      <c r="H2145" s="59"/>
    </row>
    <row r="2146" spans="3:8" x14ac:dyDescent="0.25">
      <c r="C2146" s="56"/>
      <c r="D2146" s="60"/>
      <c r="E2146" s="60"/>
      <c r="F2146" s="59"/>
      <c r="G2146" s="59"/>
      <c r="H2146" s="59"/>
    </row>
    <row r="2147" spans="3:8" x14ac:dyDescent="0.25">
      <c r="C2147" s="56"/>
      <c r="D2147" s="60"/>
      <c r="E2147" s="60"/>
      <c r="F2147" s="59"/>
      <c r="G2147" s="59"/>
      <c r="H2147" s="59"/>
    </row>
    <row r="2148" spans="3:8" x14ac:dyDescent="0.25">
      <c r="C2148" s="56"/>
      <c r="D2148" s="60"/>
      <c r="E2148" s="60"/>
      <c r="F2148" s="59"/>
      <c r="G2148" s="59"/>
      <c r="H2148" s="59"/>
    </row>
    <row r="2149" spans="3:8" x14ac:dyDescent="0.25">
      <c r="C2149" s="56"/>
      <c r="D2149" s="60"/>
      <c r="E2149" s="60"/>
      <c r="F2149" s="59"/>
      <c r="G2149" s="59"/>
      <c r="H2149" s="59"/>
    </row>
    <row r="2150" spans="3:8" x14ac:dyDescent="0.25">
      <c r="C2150" s="56"/>
      <c r="D2150" s="60"/>
      <c r="E2150" s="60"/>
      <c r="F2150" s="59"/>
      <c r="G2150" s="59"/>
      <c r="H2150" s="59"/>
    </row>
    <row r="2151" spans="3:8" x14ac:dyDescent="0.25">
      <c r="C2151" s="56"/>
      <c r="D2151" s="60"/>
      <c r="E2151" s="60"/>
      <c r="F2151" s="59"/>
      <c r="G2151" s="59"/>
      <c r="H2151" s="59"/>
    </row>
    <row r="2152" spans="3:8" x14ac:dyDescent="0.25">
      <c r="C2152" s="56"/>
      <c r="D2152" s="60"/>
      <c r="E2152" s="60"/>
      <c r="F2152" s="59"/>
      <c r="G2152" s="59"/>
      <c r="H2152" s="59"/>
    </row>
    <row r="2153" spans="3:8" x14ac:dyDescent="0.25">
      <c r="C2153" s="56"/>
      <c r="D2153" s="60"/>
      <c r="E2153" s="60"/>
      <c r="F2153" s="59"/>
      <c r="G2153" s="59"/>
      <c r="H2153" s="59"/>
    </row>
    <row r="2154" spans="3:8" x14ac:dyDescent="0.25">
      <c r="C2154" s="56"/>
      <c r="D2154" s="60"/>
      <c r="E2154" s="60"/>
      <c r="F2154" s="59"/>
      <c r="G2154" s="59"/>
      <c r="H2154" s="59"/>
    </row>
    <row r="2155" spans="3:8" x14ac:dyDescent="0.25">
      <c r="C2155" s="56"/>
      <c r="D2155" s="60"/>
      <c r="E2155" s="60"/>
      <c r="F2155" s="59"/>
      <c r="G2155" s="59"/>
      <c r="H2155" s="59"/>
    </row>
    <row r="2156" spans="3:8" x14ac:dyDescent="0.25">
      <c r="C2156" s="56"/>
      <c r="D2156" s="60"/>
      <c r="E2156" s="60"/>
      <c r="F2156" s="59"/>
      <c r="G2156" s="59"/>
      <c r="H2156" s="59"/>
    </row>
    <row r="2157" spans="3:8" x14ac:dyDescent="0.25">
      <c r="C2157" s="56"/>
      <c r="D2157" s="60"/>
      <c r="E2157" s="60"/>
      <c r="F2157" s="59"/>
      <c r="G2157" s="59"/>
      <c r="H2157" s="59"/>
    </row>
    <row r="2158" spans="3:8" x14ac:dyDescent="0.25">
      <c r="C2158" s="56"/>
      <c r="D2158" s="60"/>
      <c r="E2158" s="60"/>
      <c r="F2158" s="59"/>
      <c r="G2158" s="59"/>
      <c r="H2158" s="59"/>
    </row>
    <row r="2159" spans="3:8" x14ac:dyDescent="0.25">
      <c r="C2159" s="56"/>
      <c r="D2159" s="60"/>
      <c r="E2159" s="60"/>
      <c r="F2159" s="59"/>
      <c r="G2159" s="59"/>
      <c r="H2159" s="59"/>
    </row>
    <row r="2160" spans="3:8" x14ac:dyDescent="0.25">
      <c r="C2160" s="56"/>
      <c r="D2160" s="60"/>
      <c r="E2160" s="60"/>
      <c r="F2160" s="59"/>
      <c r="G2160" s="59"/>
      <c r="H2160" s="59"/>
    </row>
    <row r="2161" spans="3:8" x14ac:dyDescent="0.25">
      <c r="C2161" s="56"/>
      <c r="D2161" s="60"/>
      <c r="E2161" s="60"/>
      <c r="F2161" s="59"/>
      <c r="G2161" s="59"/>
      <c r="H2161" s="59"/>
    </row>
    <row r="2162" spans="3:8" x14ac:dyDescent="0.25">
      <c r="C2162" s="56"/>
      <c r="D2162" s="60"/>
      <c r="E2162" s="60"/>
      <c r="F2162" s="59"/>
      <c r="G2162" s="59"/>
      <c r="H2162" s="59"/>
    </row>
    <row r="2163" spans="3:8" x14ac:dyDescent="0.25">
      <c r="C2163" s="56"/>
      <c r="D2163" s="60"/>
      <c r="E2163" s="60"/>
      <c r="F2163" s="59"/>
      <c r="G2163" s="59"/>
      <c r="H2163" s="59"/>
    </row>
    <row r="2164" spans="3:8" x14ac:dyDescent="0.25">
      <c r="C2164" s="56"/>
      <c r="D2164" s="60"/>
      <c r="E2164" s="60"/>
      <c r="F2164" s="59"/>
      <c r="G2164" s="59"/>
      <c r="H2164" s="59"/>
    </row>
    <row r="2165" spans="3:8" x14ac:dyDescent="0.25">
      <c r="C2165" s="56"/>
      <c r="D2165" s="60"/>
      <c r="E2165" s="60"/>
      <c r="F2165" s="59"/>
      <c r="G2165" s="59"/>
      <c r="H2165" s="59"/>
    </row>
    <row r="2166" spans="3:8" x14ac:dyDescent="0.25">
      <c r="C2166" s="56"/>
      <c r="D2166" s="60"/>
      <c r="E2166" s="60"/>
      <c r="F2166" s="59"/>
      <c r="G2166" s="59"/>
      <c r="H2166" s="59"/>
    </row>
    <row r="2167" spans="3:8" x14ac:dyDescent="0.25">
      <c r="C2167" s="56"/>
      <c r="D2167" s="60"/>
      <c r="E2167" s="60"/>
      <c r="F2167" s="59"/>
      <c r="G2167" s="59"/>
      <c r="H2167" s="59"/>
    </row>
    <row r="2168" spans="3:8" x14ac:dyDescent="0.25">
      <c r="C2168" s="56"/>
      <c r="D2168" s="60"/>
      <c r="E2168" s="60"/>
      <c r="F2168" s="59"/>
      <c r="G2168" s="59"/>
      <c r="H2168" s="59"/>
    </row>
    <row r="2169" spans="3:8" x14ac:dyDescent="0.25">
      <c r="C2169" s="56"/>
      <c r="D2169" s="60"/>
      <c r="E2169" s="60"/>
      <c r="F2169" s="59"/>
      <c r="G2169" s="59"/>
      <c r="H2169" s="59"/>
    </row>
    <row r="2170" spans="3:8" x14ac:dyDescent="0.25">
      <c r="C2170" s="56"/>
      <c r="D2170" s="60"/>
      <c r="E2170" s="60"/>
      <c r="F2170" s="59"/>
      <c r="G2170" s="59"/>
      <c r="H2170" s="59"/>
    </row>
    <row r="2171" spans="3:8" x14ac:dyDescent="0.25">
      <c r="C2171" s="56"/>
      <c r="D2171" s="60"/>
      <c r="E2171" s="60"/>
      <c r="F2171" s="59"/>
      <c r="G2171" s="59"/>
      <c r="H2171" s="59"/>
    </row>
    <row r="2172" spans="3:8" x14ac:dyDescent="0.25">
      <c r="C2172" s="56"/>
      <c r="D2172" s="60"/>
      <c r="E2172" s="60"/>
      <c r="F2172" s="59"/>
      <c r="G2172" s="59"/>
      <c r="H2172" s="59"/>
    </row>
    <row r="2173" spans="3:8" x14ac:dyDescent="0.25">
      <c r="C2173" s="56"/>
      <c r="D2173" s="60"/>
      <c r="E2173" s="60"/>
      <c r="F2173" s="59"/>
      <c r="G2173" s="59"/>
      <c r="H2173" s="59"/>
    </row>
    <row r="2174" spans="3:8" x14ac:dyDescent="0.25">
      <c r="C2174" s="56"/>
      <c r="D2174" s="60"/>
      <c r="E2174" s="60"/>
      <c r="F2174" s="59"/>
      <c r="G2174" s="59"/>
      <c r="H2174" s="59"/>
    </row>
    <row r="2175" spans="3:8" x14ac:dyDescent="0.25">
      <c r="C2175" s="56"/>
      <c r="D2175" s="60"/>
      <c r="E2175" s="60"/>
      <c r="F2175" s="59"/>
      <c r="G2175" s="59"/>
      <c r="H2175" s="59"/>
    </row>
    <row r="2176" spans="3:8" x14ac:dyDescent="0.25">
      <c r="C2176" s="56"/>
      <c r="D2176" s="60"/>
      <c r="E2176" s="60"/>
      <c r="F2176" s="59"/>
      <c r="G2176" s="59"/>
      <c r="H2176" s="59"/>
    </row>
    <row r="2177" spans="3:8" x14ac:dyDescent="0.25">
      <c r="C2177" s="56"/>
      <c r="D2177" s="60"/>
      <c r="E2177" s="60"/>
      <c r="F2177" s="59"/>
      <c r="G2177" s="59"/>
      <c r="H2177" s="59"/>
    </row>
    <row r="2178" spans="3:8" x14ac:dyDescent="0.25">
      <c r="C2178" s="56"/>
      <c r="D2178" s="60"/>
      <c r="E2178" s="60"/>
      <c r="F2178" s="59"/>
      <c r="G2178" s="59"/>
      <c r="H2178" s="59"/>
    </row>
    <row r="2179" spans="3:8" x14ac:dyDescent="0.25">
      <c r="C2179" s="56"/>
      <c r="D2179" s="60"/>
      <c r="E2179" s="60"/>
      <c r="F2179" s="59"/>
      <c r="G2179" s="59"/>
      <c r="H2179" s="59"/>
    </row>
    <row r="2180" spans="3:8" x14ac:dyDescent="0.25">
      <c r="C2180" s="56"/>
      <c r="D2180" s="60"/>
      <c r="E2180" s="60"/>
      <c r="F2180" s="59"/>
      <c r="G2180" s="59"/>
      <c r="H2180" s="59"/>
    </row>
    <row r="2181" spans="3:8" x14ac:dyDescent="0.25">
      <c r="C2181" s="56"/>
      <c r="D2181" s="60"/>
      <c r="E2181" s="60"/>
      <c r="F2181" s="59"/>
      <c r="G2181" s="59"/>
      <c r="H2181" s="59"/>
    </row>
    <row r="2182" spans="3:8" x14ac:dyDescent="0.25">
      <c r="C2182" s="56"/>
      <c r="D2182" s="60"/>
      <c r="E2182" s="60"/>
      <c r="F2182" s="59"/>
      <c r="G2182" s="59"/>
      <c r="H2182" s="59"/>
    </row>
    <row r="2183" spans="3:8" x14ac:dyDescent="0.25">
      <c r="C2183" s="56"/>
      <c r="D2183" s="60"/>
      <c r="E2183" s="60"/>
      <c r="F2183" s="59"/>
      <c r="G2183" s="59"/>
      <c r="H2183" s="59"/>
    </row>
    <row r="2184" spans="3:8" x14ac:dyDescent="0.25">
      <c r="C2184" s="56"/>
      <c r="D2184" s="60"/>
      <c r="E2184" s="60"/>
      <c r="F2184" s="59"/>
      <c r="G2184" s="59"/>
      <c r="H2184" s="59"/>
    </row>
    <row r="2185" spans="3:8" x14ac:dyDescent="0.25">
      <c r="C2185" s="56"/>
      <c r="D2185" s="60"/>
      <c r="E2185" s="60"/>
      <c r="F2185" s="59"/>
      <c r="G2185" s="59"/>
      <c r="H2185" s="59"/>
    </row>
    <row r="2186" spans="3:8" x14ac:dyDescent="0.25">
      <c r="C2186" s="56"/>
      <c r="D2186" s="60"/>
      <c r="E2186" s="60"/>
      <c r="F2186" s="59"/>
      <c r="G2186" s="59"/>
      <c r="H2186" s="59"/>
    </row>
    <row r="2187" spans="3:8" x14ac:dyDescent="0.25">
      <c r="C2187" s="56"/>
      <c r="D2187" s="60"/>
      <c r="E2187" s="60"/>
      <c r="F2187" s="59"/>
      <c r="G2187" s="59"/>
      <c r="H2187" s="59"/>
    </row>
    <row r="2188" spans="3:8" x14ac:dyDescent="0.25">
      <c r="C2188" s="56"/>
      <c r="D2188" s="60"/>
      <c r="E2188" s="60"/>
      <c r="F2188" s="59"/>
      <c r="G2188" s="59"/>
      <c r="H2188" s="59"/>
    </row>
    <row r="2189" spans="3:8" x14ac:dyDescent="0.25">
      <c r="C2189" s="56"/>
      <c r="D2189" s="60"/>
      <c r="E2189" s="60"/>
      <c r="F2189" s="59"/>
      <c r="G2189" s="59"/>
      <c r="H2189" s="59"/>
    </row>
    <row r="2190" spans="3:8" x14ac:dyDescent="0.25">
      <c r="C2190" s="56"/>
      <c r="D2190" s="60"/>
      <c r="E2190" s="60"/>
      <c r="F2190" s="59"/>
      <c r="G2190" s="59"/>
      <c r="H2190" s="59"/>
    </row>
    <row r="2191" spans="3:8" x14ac:dyDescent="0.25">
      <c r="C2191" s="56"/>
      <c r="D2191" s="60"/>
      <c r="E2191" s="60"/>
      <c r="F2191" s="59"/>
      <c r="G2191" s="59"/>
      <c r="H2191" s="59"/>
    </row>
    <row r="2192" spans="3:8" x14ac:dyDescent="0.25">
      <c r="C2192" s="56"/>
      <c r="D2192" s="60"/>
      <c r="E2192" s="60"/>
      <c r="F2192" s="59"/>
      <c r="G2192" s="59"/>
      <c r="H2192" s="59"/>
    </row>
    <row r="2193" spans="3:8" x14ac:dyDescent="0.25">
      <c r="C2193" s="56"/>
      <c r="D2193" s="60"/>
      <c r="E2193" s="60"/>
      <c r="F2193" s="59"/>
      <c r="G2193" s="59"/>
      <c r="H2193" s="59"/>
    </row>
    <row r="2194" spans="3:8" x14ac:dyDescent="0.25">
      <c r="C2194" s="56"/>
      <c r="D2194" s="60"/>
      <c r="E2194" s="60"/>
      <c r="F2194" s="59"/>
      <c r="G2194" s="59"/>
      <c r="H2194" s="59"/>
    </row>
    <row r="2195" spans="3:8" x14ac:dyDescent="0.25">
      <c r="C2195" s="56"/>
      <c r="D2195" s="60"/>
      <c r="E2195" s="60"/>
      <c r="F2195" s="59"/>
      <c r="G2195" s="59"/>
      <c r="H2195" s="59"/>
    </row>
    <row r="2196" spans="3:8" x14ac:dyDescent="0.25">
      <c r="C2196" s="56"/>
      <c r="D2196" s="60"/>
      <c r="E2196" s="60"/>
      <c r="F2196" s="59"/>
      <c r="G2196" s="59"/>
      <c r="H2196" s="59"/>
    </row>
    <row r="2197" spans="3:8" x14ac:dyDescent="0.25">
      <c r="C2197" s="56"/>
      <c r="D2197" s="60"/>
      <c r="E2197" s="60"/>
      <c r="F2197" s="59"/>
      <c r="G2197" s="59"/>
      <c r="H2197" s="59"/>
    </row>
    <row r="2198" spans="3:8" x14ac:dyDescent="0.25">
      <c r="C2198" s="56"/>
      <c r="D2198" s="60"/>
      <c r="E2198" s="60"/>
      <c r="F2198" s="59"/>
      <c r="G2198" s="59"/>
      <c r="H2198" s="59"/>
    </row>
    <row r="2199" spans="3:8" x14ac:dyDescent="0.25">
      <c r="C2199" s="56"/>
      <c r="D2199" s="60"/>
      <c r="E2199" s="60"/>
      <c r="F2199" s="59"/>
      <c r="G2199" s="59"/>
      <c r="H2199" s="59"/>
    </row>
    <row r="2200" spans="3:8" x14ac:dyDescent="0.25">
      <c r="C2200" s="56"/>
      <c r="D2200" s="60"/>
      <c r="E2200" s="60"/>
      <c r="F2200" s="59"/>
      <c r="G2200" s="59"/>
      <c r="H2200" s="59"/>
    </row>
    <row r="2201" spans="3:8" x14ac:dyDescent="0.25">
      <c r="C2201" s="56"/>
      <c r="D2201" s="60"/>
      <c r="E2201" s="60"/>
      <c r="F2201" s="59"/>
      <c r="G2201" s="59"/>
      <c r="H2201" s="59"/>
    </row>
    <row r="2202" spans="3:8" x14ac:dyDescent="0.25">
      <c r="C2202" s="56"/>
      <c r="D2202" s="60"/>
      <c r="E2202" s="60"/>
      <c r="F2202" s="59"/>
      <c r="G2202" s="59"/>
      <c r="H2202" s="59"/>
    </row>
    <row r="2203" spans="3:8" x14ac:dyDescent="0.25">
      <c r="C2203" s="56"/>
      <c r="D2203" s="60"/>
      <c r="E2203" s="60"/>
      <c r="F2203" s="59"/>
      <c r="G2203" s="59"/>
      <c r="H2203" s="59"/>
    </row>
    <row r="2204" spans="3:8" x14ac:dyDescent="0.25">
      <c r="C2204" s="56"/>
      <c r="D2204" s="60"/>
      <c r="E2204" s="60"/>
      <c r="F2204" s="59"/>
      <c r="G2204" s="59"/>
      <c r="H2204" s="59"/>
    </row>
    <row r="2205" spans="3:8" x14ac:dyDescent="0.25">
      <c r="C2205" s="56"/>
      <c r="D2205" s="60"/>
      <c r="E2205" s="60"/>
      <c r="F2205" s="59"/>
      <c r="G2205" s="59"/>
      <c r="H2205" s="59"/>
    </row>
    <row r="2206" spans="3:8" x14ac:dyDescent="0.25">
      <c r="C2206" s="56"/>
      <c r="D2206" s="60"/>
      <c r="E2206" s="60"/>
      <c r="F2206" s="59"/>
      <c r="G2206" s="59"/>
      <c r="H2206" s="59"/>
    </row>
    <row r="2207" spans="3:8" x14ac:dyDescent="0.25">
      <c r="C2207" s="56"/>
      <c r="D2207" s="60"/>
      <c r="E2207" s="60"/>
      <c r="F2207" s="59"/>
      <c r="G2207" s="59"/>
      <c r="H2207" s="59"/>
    </row>
    <row r="2208" spans="3:8" x14ac:dyDescent="0.25">
      <c r="C2208" s="56"/>
      <c r="D2208" s="60"/>
      <c r="E2208" s="60"/>
      <c r="F2208" s="59"/>
      <c r="G2208" s="59"/>
      <c r="H2208" s="59"/>
    </row>
    <row r="2209" spans="3:8" x14ac:dyDescent="0.25">
      <c r="C2209" s="56"/>
      <c r="D2209" s="60"/>
      <c r="E2209" s="60"/>
      <c r="F2209" s="59"/>
      <c r="G2209" s="59"/>
      <c r="H2209" s="59"/>
    </row>
    <row r="2210" spans="3:8" x14ac:dyDescent="0.25">
      <c r="C2210" s="56"/>
      <c r="D2210" s="60"/>
      <c r="E2210" s="60"/>
      <c r="F2210" s="59"/>
      <c r="G2210" s="59"/>
      <c r="H2210" s="59"/>
    </row>
    <row r="2211" spans="3:8" x14ac:dyDescent="0.25">
      <c r="C2211" s="56"/>
      <c r="D2211" s="60"/>
      <c r="E2211" s="60"/>
      <c r="F2211" s="59"/>
      <c r="G2211" s="59"/>
      <c r="H2211" s="59"/>
    </row>
    <row r="2212" spans="3:8" x14ac:dyDescent="0.25">
      <c r="C2212" s="56"/>
      <c r="D2212" s="60"/>
      <c r="E2212" s="60"/>
      <c r="F2212" s="59"/>
      <c r="G2212" s="59"/>
      <c r="H2212" s="59"/>
    </row>
    <row r="2213" spans="3:8" x14ac:dyDescent="0.25">
      <c r="C2213" s="56"/>
      <c r="D2213" s="60"/>
      <c r="E2213" s="60"/>
      <c r="F2213" s="59"/>
      <c r="G2213" s="59"/>
      <c r="H2213" s="59"/>
    </row>
    <row r="2214" spans="3:8" x14ac:dyDescent="0.25">
      <c r="C2214" s="56"/>
      <c r="D2214" s="60"/>
      <c r="E2214" s="60"/>
      <c r="F2214" s="59"/>
      <c r="G2214" s="59"/>
      <c r="H2214" s="59"/>
    </row>
    <row r="2215" spans="3:8" x14ac:dyDescent="0.25">
      <c r="C2215" s="56"/>
      <c r="D2215" s="60"/>
      <c r="E2215" s="60"/>
      <c r="F2215" s="59"/>
      <c r="G2215" s="59"/>
      <c r="H2215" s="59"/>
    </row>
    <row r="2216" spans="3:8" x14ac:dyDescent="0.25">
      <c r="C2216" s="56"/>
      <c r="D2216" s="60"/>
      <c r="E2216" s="60"/>
      <c r="F2216" s="59"/>
      <c r="G2216" s="59"/>
      <c r="H2216" s="59"/>
    </row>
    <row r="2217" spans="3:8" x14ac:dyDescent="0.25">
      <c r="C2217" s="56"/>
      <c r="D2217" s="60"/>
      <c r="E2217" s="60"/>
      <c r="F2217" s="59"/>
      <c r="G2217" s="59"/>
      <c r="H2217" s="59"/>
    </row>
    <row r="2218" spans="3:8" x14ac:dyDescent="0.25">
      <c r="C2218" s="56"/>
      <c r="D2218" s="60"/>
      <c r="E2218" s="60"/>
      <c r="F2218" s="59"/>
      <c r="G2218" s="59"/>
      <c r="H2218" s="59"/>
    </row>
    <row r="2219" spans="3:8" x14ac:dyDescent="0.25">
      <c r="C2219" s="56"/>
      <c r="D2219" s="60"/>
      <c r="E2219" s="60"/>
      <c r="F2219" s="59"/>
      <c r="G2219" s="59"/>
      <c r="H2219" s="59"/>
    </row>
    <row r="2220" spans="3:8" x14ac:dyDescent="0.25">
      <c r="C2220" s="56"/>
      <c r="D2220" s="60"/>
      <c r="E2220" s="60"/>
      <c r="F2220" s="59"/>
      <c r="G2220" s="59"/>
      <c r="H2220" s="59"/>
    </row>
    <row r="2221" spans="3:8" x14ac:dyDescent="0.25">
      <c r="C2221" s="56"/>
      <c r="D2221" s="60"/>
      <c r="E2221" s="60"/>
      <c r="F2221" s="59"/>
      <c r="G2221" s="59"/>
      <c r="H2221" s="59"/>
    </row>
    <row r="2222" spans="3:8" x14ac:dyDescent="0.25">
      <c r="C2222" s="56"/>
      <c r="D2222" s="60"/>
      <c r="E2222" s="60"/>
      <c r="F2222" s="59"/>
      <c r="G2222" s="59"/>
      <c r="H2222" s="59"/>
    </row>
    <row r="2223" spans="3:8" x14ac:dyDescent="0.25">
      <c r="C2223" s="56"/>
      <c r="D2223" s="60"/>
      <c r="E2223" s="60"/>
      <c r="F2223" s="59"/>
      <c r="G2223" s="59"/>
      <c r="H2223" s="59"/>
    </row>
    <row r="2224" spans="3:8" x14ac:dyDescent="0.25">
      <c r="C2224" s="56"/>
      <c r="D2224" s="60"/>
      <c r="E2224" s="60"/>
      <c r="F2224" s="59"/>
      <c r="G2224" s="59"/>
      <c r="H2224" s="59"/>
    </row>
    <row r="2225" spans="3:8" x14ac:dyDescent="0.25">
      <c r="C2225" s="56"/>
      <c r="D2225" s="60"/>
      <c r="E2225" s="60"/>
      <c r="F2225" s="59"/>
      <c r="G2225" s="59"/>
      <c r="H2225" s="59"/>
    </row>
    <row r="2226" spans="3:8" x14ac:dyDescent="0.25">
      <c r="C2226" s="56"/>
      <c r="D2226" s="60"/>
      <c r="E2226" s="60"/>
      <c r="F2226" s="59"/>
      <c r="G2226" s="59"/>
      <c r="H2226" s="59"/>
    </row>
    <row r="2227" spans="3:8" x14ac:dyDescent="0.25">
      <c r="C2227" s="56"/>
      <c r="D2227" s="60"/>
      <c r="E2227" s="60"/>
      <c r="F2227" s="59"/>
      <c r="G2227" s="59"/>
      <c r="H2227" s="59"/>
    </row>
    <row r="2228" spans="3:8" x14ac:dyDescent="0.25">
      <c r="C2228" s="56"/>
      <c r="D2228" s="60"/>
      <c r="E2228" s="60"/>
      <c r="F2228" s="59"/>
      <c r="G2228" s="59"/>
      <c r="H2228" s="59"/>
    </row>
    <row r="2229" spans="3:8" x14ac:dyDescent="0.25">
      <c r="C2229" s="56"/>
      <c r="D2229" s="60"/>
      <c r="E2229" s="60"/>
      <c r="F2229" s="59"/>
      <c r="G2229" s="59"/>
      <c r="H2229" s="59"/>
    </row>
    <row r="2230" spans="3:8" x14ac:dyDescent="0.25">
      <c r="C2230" s="56"/>
      <c r="D2230" s="60"/>
      <c r="E2230" s="60"/>
      <c r="F2230" s="59"/>
      <c r="G2230" s="59"/>
      <c r="H2230" s="59"/>
    </row>
    <row r="2231" spans="3:8" x14ac:dyDescent="0.25">
      <c r="C2231" s="56"/>
      <c r="D2231" s="60"/>
      <c r="E2231" s="60"/>
      <c r="F2231" s="59"/>
      <c r="G2231" s="59"/>
      <c r="H2231" s="59"/>
    </row>
    <row r="2232" spans="3:8" x14ac:dyDescent="0.25">
      <c r="C2232" s="56"/>
      <c r="D2232" s="60"/>
      <c r="E2232" s="60"/>
      <c r="F2232" s="59"/>
      <c r="G2232" s="59"/>
      <c r="H2232" s="59"/>
    </row>
    <row r="2233" spans="3:8" x14ac:dyDescent="0.25">
      <c r="C2233" s="56"/>
      <c r="D2233" s="60"/>
      <c r="E2233" s="60"/>
      <c r="F2233" s="59"/>
      <c r="G2233" s="59"/>
      <c r="H2233" s="59"/>
    </row>
    <row r="2234" spans="3:8" x14ac:dyDescent="0.25">
      <c r="C2234" s="56"/>
      <c r="D2234" s="60"/>
      <c r="E2234" s="60"/>
      <c r="F2234" s="59"/>
      <c r="G2234" s="59"/>
      <c r="H2234" s="59"/>
    </row>
    <row r="2235" spans="3:8" x14ac:dyDescent="0.25">
      <c r="C2235" s="56"/>
      <c r="D2235" s="60"/>
      <c r="E2235" s="60"/>
      <c r="F2235" s="59"/>
      <c r="G2235" s="59"/>
      <c r="H2235" s="59"/>
    </row>
    <row r="2236" spans="3:8" x14ac:dyDescent="0.25">
      <c r="C2236" s="56"/>
      <c r="D2236" s="60"/>
      <c r="E2236" s="60"/>
      <c r="F2236" s="59"/>
      <c r="G2236" s="59"/>
      <c r="H2236" s="59"/>
    </row>
    <row r="2237" spans="3:8" x14ac:dyDescent="0.25">
      <c r="C2237" s="56"/>
      <c r="D2237" s="60"/>
      <c r="E2237" s="60"/>
      <c r="F2237" s="59"/>
      <c r="G2237" s="59"/>
      <c r="H2237" s="59"/>
    </row>
    <row r="2238" spans="3:8" x14ac:dyDescent="0.25">
      <c r="C2238" s="56"/>
      <c r="D2238" s="60"/>
      <c r="E2238" s="60"/>
      <c r="F2238" s="59"/>
      <c r="G2238" s="59"/>
      <c r="H2238" s="59"/>
    </row>
    <row r="2239" spans="3:8" x14ac:dyDescent="0.25">
      <c r="C2239" s="56"/>
      <c r="D2239" s="60"/>
      <c r="E2239" s="60"/>
      <c r="F2239" s="59"/>
      <c r="G2239" s="59"/>
      <c r="H2239" s="59"/>
    </row>
    <row r="2240" spans="3:8" x14ac:dyDescent="0.25">
      <c r="C2240" s="56"/>
      <c r="D2240" s="60"/>
      <c r="E2240" s="60"/>
      <c r="F2240" s="59"/>
      <c r="G2240" s="59"/>
      <c r="H2240" s="59"/>
    </row>
    <row r="2241" spans="3:8" x14ac:dyDescent="0.25">
      <c r="C2241" s="56"/>
      <c r="D2241" s="60"/>
      <c r="E2241" s="60"/>
      <c r="F2241" s="59"/>
      <c r="G2241" s="59"/>
      <c r="H2241" s="59"/>
    </row>
    <row r="2242" spans="3:8" x14ac:dyDescent="0.25">
      <c r="C2242" s="56"/>
      <c r="D2242" s="60"/>
      <c r="E2242" s="60"/>
      <c r="F2242" s="59"/>
      <c r="G2242" s="59"/>
      <c r="H2242" s="59"/>
    </row>
    <row r="2243" spans="3:8" x14ac:dyDescent="0.25">
      <c r="C2243" s="56"/>
      <c r="D2243" s="60"/>
      <c r="E2243" s="60"/>
      <c r="F2243" s="59"/>
      <c r="G2243" s="59"/>
      <c r="H2243" s="59"/>
    </row>
    <row r="2244" spans="3:8" x14ac:dyDescent="0.25">
      <c r="C2244" s="56"/>
      <c r="D2244" s="60"/>
      <c r="E2244" s="60"/>
      <c r="F2244" s="59"/>
      <c r="G2244" s="59"/>
      <c r="H2244" s="59"/>
    </row>
    <row r="2245" spans="3:8" x14ac:dyDescent="0.25">
      <c r="C2245" s="56"/>
      <c r="D2245" s="60"/>
      <c r="E2245" s="60"/>
      <c r="F2245" s="59"/>
      <c r="G2245" s="59"/>
      <c r="H2245" s="59"/>
    </row>
    <row r="2246" spans="3:8" x14ac:dyDescent="0.25">
      <c r="C2246" s="56"/>
      <c r="D2246" s="60"/>
      <c r="E2246" s="60"/>
      <c r="F2246" s="59"/>
      <c r="G2246" s="59"/>
      <c r="H2246" s="59"/>
    </row>
    <row r="2247" spans="3:8" x14ac:dyDescent="0.25">
      <c r="C2247" s="56"/>
      <c r="D2247" s="60"/>
      <c r="E2247" s="60"/>
      <c r="F2247" s="59"/>
      <c r="G2247" s="59"/>
      <c r="H2247" s="59"/>
    </row>
    <row r="2248" spans="3:8" x14ac:dyDescent="0.25">
      <c r="C2248" s="56"/>
      <c r="D2248" s="60"/>
      <c r="E2248" s="60"/>
      <c r="F2248" s="59"/>
      <c r="G2248" s="59"/>
      <c r="H2248" s="59"/>
    </row>
    <row r="2249" spans="3:8" x14ac:dyDescent="0.25">
      <c r="C2249" s="56"/>
      <c r="D2249" s="60"/>
      <c r="E2249" s="60"/>
      <c r="F2249" s="59"/>
      <c r="G2249" s="59"/>
      <c r="H2249" s="59"/>
    </row>
    <row r="2250" spans="3:8" x14ac:dyDescent="0.25">
      <c r="C2250" s="56"/>
      <c r="D2250" s="60"/>
      <c r="E2250" s="60"/>
      <c r="F2250" s="59"/>
      <c r="G2250" s="59"/>
      <c r="H2250" s="59"/>
    </row>
    <row r="2251" spans="3:8" x14ac:dyDescent="0.25">
      <c r="C2251" s="56"/>
      <c r="D2251" s="60"/>
      <c r="E2251" s="60"/>
      <c r="F2251" s="59"/>
      <c r="G2251" s="59"/>
      <c r="H2251" s="59"/>
    </row>
    <row r="2252" spans="3:8" x14ac:dyDescent="0.25">
      <c r="C2252" s="56"/>
      <c r="D2252" s="60"/>
      <c r="E2252" s="60"/>
      <c r="F2252" s="59"/>
      <c r="G2252" s="59"/>
      <c r="H2252" s="59"/>
    </row>
    <row r="2253" spans="3:8" x14ac:dyDescent="0.25">
      <c r="C2253" s="56"/>
      <c r="D2253" s="60"/>
      <c r="E2253" s="60"/>
      <c r="F2253" s="59"/>
      <c r="G2253" s="59"/>
      <c r="H2253" s="59"/>
    </row>
    <row r="2254" spans="3:8" x14ac:dyDescent="0.25">
      <c r="C2254" s="56"/>
      <c r="D2254" s="60"/>
      <c r="E2254" s="60"/>
      <c r="F2254" s="59"/>
      <c r="G2254" s="59"/>
      <c r="H2254" s="59"/>
    </row>
    <row r="2255" spans="3:8" x14ac:dyDescent="0.25">
      <c r="C2255" s="56"/>
      <c r="D2255" s="60"/>
      <c r="E2255" s="60"/>
      <c r="F2255" s="59"/>
      <c r="G2255" s="59"/>
      <c r="H2255" s="59"/>
    </row>
    <row r="2256" spans="3:8" x14ac:dyDescent="0.25">
      <c r="C2256" s="56"/>
      <c r="D2256" s="60"/>
      <c r="E2256" s="60"/>
      <c r="F2256" s="59"/>
      <c r="G2256" s="59"/>
      <c r="H2256" s="59"/>
    </row>
    <row r="2257" spans="3:8" x14ac:dyDescent="0.25">
      <c r="C2257" s="56"/>
      <c r="D2257" s="60"/>
      <c r="E2257" s="60"/>
      <c r="F2257" s="59"/>
      <c r="G2257" s="59"/>
      <c r="H2257" s="59"/>
    </row>
    <row r="2258" spans="3:8" x14ac:dyDescent="0.25">
      <c r="C2258" s="56"/>
      <c r="D2258" s="60"/>
      <c r="E2258" s="60"/>
      <c r="F2258" s="59"/>
      <c r="G2258" s="59"/>
      <c r="H2258" s="59"/>
    </row>
    <row r="2259" spans="3:8" x14ac:dyDescent="0.25">
      <c r="C2259" s="56"/>
      <c r="D2259" s="60"/>
      <c r="E2259" s="60"/>
      <c r="F2259" s="59"/>
      <c r="G2259" s="59"/>
      <c r="H2259" s="59"/>
    </row>
    <row r="2260" spans="3:8" x14ac:dyDescent="0.25">
      <c r="C2260" s="56"/>
      <c r="D2260" s="60"/>
      <c r="E2260" s="60"/>
      <c r="F2260" s="59"/>
      <c r="G2260" s="59"/>
      <c r="H2260" s="59"/>
    </row>
    <row r="2261" spans="3:8" x14ac:dyDescent="0.25">
      <c r="C2261" s="56"/>
      <c r="D2261" s="60"/>
      <c r="E2261" s="60"/>
      <c r="F2261" s="59"/>
      <c r="G2261" s="59"/>
      <c r="H2261" s="59"/>
    </row>
    <row r="2262" spans="3:8" x14ac:dyDescent="0.25">
      <c r="C2262" s="56"/>
      <c r="D2262" s="60"/>
      <c r="E2262" s="60"/>
      <c r="F2262" s="59"/>
      <c r="G2262" s="59"/>
      <c r="H2262" s="59"/>
    </row>
    <row r="2263" spans="3:8" x14ac:dyDescent="0.25">
      <c r="C2263" s="56"/>
      <c r="D2263" s="60"/>
      <c r="E2263" s="60"/>
      <c r="F2263" s="59"/>
      <c r="G2263" s="59"/>
      <c r="H2263" s="59"/>
    </row>
    <row r="2264" spans="3:8" x14ac:dyDescent="0.25">
      <c r="C2264" s="56"/>
      <c r="D2264" s="60"/>
      <c r="E2264" s="60"/>
      <c r="F2264" s="59"/>
      <c r="G2264" s="59"/>
      <c r="H2264" s="59"/>
    </row>
    <row r="2265" spans="3:8" x14ac:dyDescent="0.25">
      <c r="C2265" s="56"/>
      <c r="D2265" s="60"/>
      <c r="E2265" s="60"/>
      <c r="F2265" s="59"/>
      <c r="G2265" s="59"/>
      <c r="H2265" s="59"/>
    </row>
    <row r="2266" spans="3:8" x14ac:dyDescent="0.25">
      <c r="C2266" s="56"/>
      <c r="D2266" s="60"/>
      <c r="E2266" s="60"/>
      <c r="F2266" s="59"/>
      <c r="G2266" s="59"/>
      <c r="H2266" s="59"/>
    </row>
    <row r="2267" spans="3:8" x14ac:dyDescent="0.25">
      <c r="C2267" s="56"/>
      <c r="D2267" s="60"/>
      <c r="E2267" s="60"/>
      <c r="F2267" s="59"/>
      <c r="G2267" s="59"/>
      <c r="H2267" s="59"/>
    </row>
    <row r="2268" spans="3:8" x14ac:dyDescent="0.25">
      <c r="C2268" s="56"/>
      <c r="D2268" s="60"/>
      <c r="E2268" s="60"/>
      <c r="F2268" s="59"/>
      <c r="G2268" s="59"/>
      <c r="H2268" s="59"/>
    </row>
    <row r="2269" spans="3:8" x14ac:dyDescent="0.25">
      <c r="C2269" s="56"/>
      <c r="D2269" s="60"/>
      <c r="E2269" s="60"/>
      <c r="F2269" s="59"/>
      <c r="G2269" s="59"/>
      <c r="H2269" s="59"/>
    </row>
    <row r="2270" spans="3:8" x14ac:dyDescent="0.25">
      <c r="C2270" s="56"/>
      <c r="D2270" s="60"/>
      <c r="E2270" s="60"/>
      <c r="F2270" s="59"/>
      <c r="G2270" s="59"/>
      <c r="H2270" s="59"/>
    </row>
    <row r="2271" spans="3:8" x14ac:dyDescent="0.25">
      <c r="C2271" s="56"/>
      <c r="D2271" s="60"/>
      <c r="E2271" s="60"/>
      <c r="F2271" s="59"/>
      <c r="G2271" s="59"/>
      <c r="H2271" s="59"/>
    </row>
    <row r="2272" spans="3:8" x14ac:dyDescent="0.25">
      <c r="C2272" s="56"/>
      <c r="D2272" s="60"/>
      <c r="E2272" s="60"/>
      <c r="F2272" s="59"/>
      <c r="G2272" s="59"/>
      <c r="H2272" s="59"/>
    </row>
    <row r="2273" spans="3:8" x14ac:dyDescent="0.25">
      <c r="C2273" s="56"/>
      <c r="D2273" s="60"/>
      <c r="E2273" s="60"/>
      <c r="F2273" s="59"/>
      <c r="G2273" s="59"/>
      <c r="H2273" s="59"/>
    </row>
    <row r="2274" spans="3:8" x14ac:dyDescent="0.25">
      <c r="C2274" s="56"/>
      <c r="D2274" s="60"/>
      <c r="E2274" s="60"/>
      <c r="F2274" s="59"/>
      <c r="G2274" s="59"/>
      <c r="H2274" s="59"/>
    </row>
    <row r="2275" spans="3:8" x14ac:dyDescent="0.25">
      <c r="C2275" s="56"/>
      <c r="D2275" s="60"/>
      <c r="E2275" s="60"/>
      <c r="F2275" s="59"/>
      <c r="G2275" s="59"/>
      <c r="H2275" s="59"/>
    </row>
    <row r="2276" spans="3:8" x14ac:dyDescent="0.25">
      <c r="C2276" s="56"/>
      <c r="D2276" s="60"/>
      <c r="E2276" s="60"/>
      <c r="F2276" s="59"/>
      <c r="G2276" s="59"/>
      <c r="H2276" s="59"/>
    </row>
    <row r="2277" spans="3:8" x14ac:dyDescent="0.25">
      <c r="C2277" s="56"/>
      <c r="D2277" s="60"/>
      <c r="E2277" s="60"/>
      <c r="F2277" s="59"/>
      <c r="G2277" s="59"/>
      <c r="H2277" s="59"/>
    </row>
    <row r="2278" spans="3:8" x14ac:dyDescent="0.25">
      <c r="C2278" s="56"/>
      <c r="D2278" s="60"/>
      <c r="E2278" s="60"/>
      <c r="F2278" s="59"/>
      <c r="G2278" s="59"/>
      <c r="H2278" s="59"/>
    </row>
    <row r="2279" spans="3:8" x14ac:dyDescent="0.25">
      <c r="C2279" s="56"/>
      <c r="D2279" s="60"/>
      <c r="E2279" s="60"/>
      <c r="F2279" s="59"/>
      <c r="G2279" s="59"/>
      <c r="H2279" s="59"/>
    </row>
    <row r="2280" spans="3:8" x14ac:dyDescent="0.25">
      <c r="C2280" s="56"/>
      <c r="D2280" s="60"/>
      <c r="E2280" s="60"/>
      <c r="F2280" s="59"/>
      <c r="G2280" s="59"/>
      <c r="H2280" s="59"/>
    </row>
    <row r="2281" spans="3:8" x14ac:dyDescent="0.25">
      <c r="C2281" s="56"/>
      <c r="D2281" s="60"/>
      <c r="E2281" s="60"/>
      <c r="F2281" s="59"/>
      <c r="G2281" s="59"/>
      <c r="H2281" s="59"/>
    </row>
    <row r="2282" spans="3:8" x14ac:dyDescent="0.25">
      <c r="C2282" s="56"/>
      <c r="D2282" s="60"/>
      <c r="E2282" s="60"/>
      <c r="F2282" s="59"/>
      <c r="G2282" s="59"/>
      <c r="H2282" s="59"/>
    </row>
    <row r="2283" spans="3:8" x14ac:dyDescent="0.25">
      <c r="C2283" s="56"/>
      <c r="D2283" s="60"/>
      <c r="E2283" s="60"/>
      <c r="F2283" s="59"/>
      <c r="G2283" s="59"/>
      <c r="H2283" s="59"/>
    </row>
    <row r="2284" spans="3:8" x14ac:dyDescent="0.25">
      <c r="C2284" s="56"/>
      <c r="D2284" s="60"/>
      <c r="E2284" s="60"/>
      <c r="F2284" s="59"/>
      <c r="G2284" s="59"/>
      <c r="H2284" s="59"/>
    </row>
    <row r="2285" spans="3:8" x14ac:dyDescent="0.25">
      <c r="C2285" s="56"/>
      <c r="D2285" s="60"/>
      <c r="E2285" s="60"/>
      <c r="F2285" s="59"/>
      <c r="G2285" s="59"/>
      <c r="H2285" s="59"/>
    </row>
    <row r="2286" spans="3:8" x14ac:dyDescent="0.25">
      <c r="C2286" s="56"/>
      <c r="D2286" s="60"/>
      <c r="E2286" s="60"/>
      <c r="F2286" s="59"/>
      <c r="G2286" s="59"/>
      <c r="H2286" s="59"/>
    </row>
    <row r="2287" spans="3:8" x14ac:dyDescent="0.25">
      <c r="C2287" s="56"/>
      <c r="D2287" s="60"/>
      <c r="E2287" s="60"/>
      <c r="F2287" s="59"/>
      <c r="G2287" s="59"/>
      <c r="H2287" s="59"/>
    </row>
    <row r="2288" spans="3:8" x14ac:dyDescent="0.25">
      <c r="C2288" s="56"/>
      <c r="D2288" s="60"/>
      <c r="E2288" s="60"/>
      <c r="F2288" s="59"/>
      <c r="G2288" s="59"/>
      <c r="H2288" s="59"/>
    </row>
    <row r="2289" spans="3:8" x14ac:dyDescent="0.25">
      <c r="C2289" s="56"/>
      <c r="D2289" s="60"/>
      <c r="E2289" s="60"/>
      <c r="F2289" s="59"/>
      <c r="G2289" s="59"/>
      <c r="H2289" s="59"/>
    </row>
    <row r="2290" spans="3:8" x14ac:dyDescent="0.25">
      <c r="C2290" s="56"/>
      <c r="D2290" s="60"/>
      <c r="E2290" s="60"/>
      <c r="F2290" s="59"/>
      <c r="G2290" s="59"/>
      <c r="H2290" s="59"/>
    </row>
    <row r="2291" spans="3:8" x14ac:dyDescent="0.25">
      <c r="C2291" s="56"/>
      <c r="D2291" s="60"/>
      <c r="E2291" s="60"/>
      <c r="F2291" s="59"/>
      <c r="G2291" s="59"/>
      <c r="H2291" s="59"/>
    </row>
    <row r="2292" spans="3:8" x14ac:dyDescent="0.25">
      <c r="C2292" s="56"/>
      <c r="D2292" s="60"/>
      <c r="E2292" s="60"/>
      <c r="F2292" s="59"/>
      <c r="G2292" s="59"/>
      <c r="H2292" s="59"/>
    </row>
    <row r="2293" spans="3:8" x14ac:dyDescent="0.25">
      <c r="C2293" s="56"/>
      <c r="D2293" s="60"/>
      <c r="E2293" s="60"/>
      <c r="F2293" s="59"/>
      <c r="G2293" s="59"/>
      <c r="H2293" s="59"/>
    </row>
    <row r="2294" spans="3:8" x14ac:dyDescent="0.25">
      <c r="C2294" s="56"/>
      <c r="D2294" s="60"/>
      <c r="E2294" s="60"/>
      <c r="F2294" s="59"/>
      <c r="G2294" s="59"/>
      <c r="H2294" s="59"/>
    </row>
    <row r="2295" spans="3:8" x14ac:dyDescent="0.25">
      <c r="C2295" s="56"/>
      <c r="D2295" s="60"/>
      <c r="E2295" s="60"/>
      <c r="F2295" s="59"/>
      <c r="G2295" s="59"/>
      <c r="H2295" s="59"/>
    </row>
    <row r="2296" spans="3:8" x14ac:dyDescent="0.25">
      <c r="C2296" s="56"/>
      <c r="D2296" s="60"/>
      <c r="E2296" s="60"/>
      <c r="F2296" s="59"/>
      <c r="G2296" s="59"/>
      <c r="H2296" s="59"/>
    </row>
    <row r="2297" spans="3:8" x14ac:dyDescent="0.25">
      <c r="C2297" s="56"/>
      <c r="D2297" s="60"/>
      <c r="E2297" s="60"/>
      <c r="F2297" s="59"/>
      <c r="G2297" s="59"/>
      <c r="H2297" s="59"/>
    </row>
    <row r="2298" spans="3:8" x14ac:dyDescent="0.25">
      <c r="C2298" s="56"/>
      <c r="D2298" s="60"/>
      <c r="E2298" s="60"/>
      <c r="F2298" s="59"/>
      <c r="G2298" s="59"/>
      <c r="H2298" s="59"/>
    </row>
    <row r="2299" spans="3:8" x14ac:dyDescent="0.25">
      <c r="C2299" s="56"/>
      <c r="D2299" s="60"/>
      <c r="E2299" s="60"/>
      <c r="F2299" s="59"/>
      <c r="G2299" s="59"/>
      <c r="H2299" s="59"/>
    </row>
    <row r="2300" spans="3:8" x14ac:dyDescent="0.25">
      <c r="C2300" s="56"/>
      <c r="D2300" s="60"/>
      <c r="E2300" s="60"/>
      <c r="F2300" s="59"/>
      <c r="G2300" s="59"/>
      <c r="H2300" s="59"/>
    </row>
    <row r="2301" spans="3:8" x14ac:dyDescent="0.25">
      <c r="C2301" s="56"/>
      <c r="D2301" s="60"/>
      <c r="E2301" s="60"/>
      <c r="F2301" s="59"/>
      <c r="G2301" s="59"/>
      <c r="H2301" s="59"/>
    </row>
    <row r="2302" spans="3:8" x14ac:dyDescent="0.25">
      <c r="C2302" s="56"/>
      <c r="D2302" s="60"/>
      <c r="E2302" s="60"/>
      <c r="F2302" s="59"/>
      <c r="G2302" s="59"/>
      <c r="H2302" s="59"/>
    </row>
    <row r="2303" spans="3:8" x14ac:dyDescent="0.25">
      <c r="C2303" s="56"/>
      <c r="D2303" s="60"/>
      <c r="E2303" s="60"/>
      <c r="F2303" s="59"/>
      <c r="G2303" s="59"/>
      <c r="H2303" s="59"/>
    </row>
    <row r="2304" spans="3:8" x14ac:dyDescent="0.25">
      <c r="C2304" s="56"/>
      <c r="D2304" s="60"/>
      <c r="E2304" s="60"/>
      <c r="F2304" s="59"/>
      <c r="G2304" s="59"/>
      <c r="H2304" s="59"/>
    </row>
    <row r="2305" spans="3:8" x14ac:dyDescent="0.25">
      <c r="C2305" s="56"/>
      <c r="D2305" s="60"/>
      <c r="E2305" s="60"/>
      <c r="F2305" s="59"/>
      <c r="G2305" s="59"/>
      <c r="H2305" s="59"/>
    </row>
    <row r="2306" spans="3:8" x14ac:dyDescent="0.25">
      <c r="C2306" s="56"/>
      <c r="D2306" s="60"/>
      <c r="E2306" s="60"/>
      <c r="F2306" s="59"/>
      <c r="G2306" s="59"/>
      <c r="H2306" s="59"/>
    </row>
    <row r="2307" spans="3:8" x14ac:dyDescent="0.25">
      <c r="C2307" s="56"/>
      <c r="D2307" s="60"/>
      <c r="E2307" s="60"/>
      <c r="F2307" s="59"/>
      <c r="G2307" s="59"/>
      <c r="H2307" s="59"/>
    </row>
    <row r="2308" spans="3:8" x14ac:dyDescent="0.25">
      <c r="C2308" s="56"/>
      <c r="D2308" s="60"/>
      <c r="E2308" s="60"/>
      <c r="F2308" s="59"/>
      <c r="G2308" s="59"/>
      <c r="H2308" s="59"/>
    </row>
    <row r="2309" spans="3:8" x14ac:dyDescent="0.25">
      <c r="C2309" s="56"/>
      <c r="D2309" s="60"/>
      <c r="E2309" s="60"/>
      <c r="F2309" s="59"/>
      <c r="G2309" s="59"/>
      <c r="H2309" s="59"/>
    </row>
    <row r="2310" spans="3:8" x14ac:dyDescent="0.25">
      <c r="C2310" s="56"/>
      <c r="D2310" s="60"/>
      <c r="E2310" s="60"/>
      <c r="F2310" s="59"/>
      <c r="G2310" s="59"/>
      <c r="H2310" s="59"/>
    </row>
    <row r="2311" spans="3:8" x14ac:dyDescent="0.25">
      <c r="C2311" s="56"/>
      <c r="D2311" s="60"/>
      <c r="E2311" s="60"/>
      <c r="F2311" s="59"/>
      <c r="G2311" s="59"/>
      <c r="H2311" s="59"/>
    </row>
    <row r="2312" spans="3:8" x14ac:dyDescent="0.25">
      <c r="C2312" s="56"/>
      <c r="D2312" s="60"/>
      <c r="E2312" s="60"/>
      <c r="F2312" s="59"/>
      <c r="G2312" s="59"/>
      <c r="H2312" s="59"/>
    </row>
    <row r="2313" spans="3:8" x14ac:dyDescent="0.25">
      <c r="C2313" s="56"/>
      <c r="D2313" s="60"/>
      <c r="E2313" s="60"/>
      <c r="F2313" s="59"/>
      <c r="G2313" s="59"/>
      <c r="H2313" s="59"/>
    </row>
    <row r="2314" spans="3:8" x14ac:dyDescent="0.25">
      <c r="C2314" s="56"/>
      <c r="D2314" s="60"/>
      <c r="E2314" s="60"/>
      <c r="F2314" s="59"/>
      <c r="G2314" s="59"/>
      <c r="H2314" s="59"/>
    </row>
    <row r="2315" spans="3:8" x14ac:dyDescent="0.25">
      <c r="C2315" s="56"/>
      <c r="D2315" s="60"/>
      <c r="E2315" s="60"/>
      <c r="F2315" s="59"/>
      <c r="G2315" s="59"/>
      <c r="H2315" s="59"/>
    </row>
    <row r="2316" spans="3:8" x14ac:dyDescent="0.25">
      <c r="C2316" s="56"/>
      <c r="D2316" s="60"/>
      <c r="E2316" s="60"/>
      <c r="F2316" s="59"/>
      <c r="G2316" s="59"/>
      <c r="H2316" s="59"/>
    </row>
    <row r="2317" spans="3:8" x14ac:dyDescent="0.25">
      <c r="C2317" s="56"/>
      <c r="D2317" s="60"/>
      <c r="E2317" s="60"/>
      <c r="F2317" s="59"/>
      <c r="G2317" s="59"/>
      <c r="H2317" s="59"/>
    </row>
    <row r="2318" spans="3:8" x14ac:dyDescent="0.25">
      <c r="C2318" s="56"/>
      <c r="D2318" s="60"/>
      <c r="E2318" s="60"/>
      <c r="F2318" s="59"/>
      <c r="G2318" s="59"/>
      <c r="H2318" s="59"/>
    </row>
    <row r="2319" spans="3:8" x14ac:dyDescent="0.25">
      <c r="C2319" s="56"/>
      <c r="D2319" s="60"/>
      <c r="E2319" s="60"/>
      <c r="F2319" s="59"/>
      <c r="G2319" s="59"/>
      <c r="H2319" s="59"/>
    </row>
    <row r="2320" spans="3:8" x14ac:dyDescent="0.25">
      <c r="C2320" s="56"/>
      <c r="D2320" s="60"/>
      <c r="E2320" s="60"/>
      <c r="F2320" s="59"/>
      <c r="G2320" s="59"/>
      <c r="H2320" s="59"/>
    </row>
    <row r="2321" spans="3:8" x14ac:dyDescent="0.25">
      <c r="C2321" s="56"/>
      <c r="D2321" s="60"/>
      <c r="E2321" s="60"/>
      <c r="F2321" s="59"/>
      <c r="G2321" s="59"/>
      <c r="H2321" s="59"/>
    </row>
    <row r="2322" spans="3:8" x14ac:dyDescent="0.25">
      <c r="C2322" s="56"/>
      <c r="D2322" s="60"/>
      <c r="E2322" s="60"/>
      <c r="F2322" s="59"/>
      <c r="G2322" s="59"/>
      <c r="H2322" s="59"/>
    </row>
    <row r="2323" spans="3:8" x14ac:dyDescent="0.25">
      <c r="C2323" s="56"/>
      <c r="D2323" s="60"/>
      <c r="E2323" s="60"/>
      <c r="F2323" s="59"/>
      <c r="G2323" s="59"/>
      <c r="H2323" s="59"/>
    </row>
    <row r="2324" spans="3:8" x14ac:dyDescent="0.25">
      <c r="C2324" s="56"/>
      <c r="D2324" s="60"/>
      <c r="E2324" s="60"/>
      <c r="F2324" s="59"/>
      <c r="G2324" s="59"/>
      <c r="H2324" s="59"/>
    </row>
    <row r="2325" spans="3:8" x14ac:dyDescent="0.25">
      <c r="C2325" s="56"/>
      <c r="D2325" s="60"/>
      <c r="E2325" s="60"/>
      <c r="F2325" s="59"/>
      <c r="G2325" s="59"/>
      <c r="H2325" s="59"/>
    </row>
    <row r="2326" spans="3:8" x14ac:dyDescent="0.25">
      <c r="C2326" s="56"/>
      <c r="D2326" s="60"/>
      <c r="E2326" s="60"/>
      <c r="F2326" s="59"/>
      <c r="G2326" s="59"/>
      <c r="H2326" s="59"/>
    </row>
    <row r="2327" spans="3:8" x14ac:dyDescent="0.25">
      <c r="C2327" s="56"/>
      <c r="D2327" s="60"/>
      <c r="E2327" s="60"/>
      <c r="F2327" s="59"/>
      <c r="G2327" s="59"/>
      <c r="H2327" s="59"/>
    </row>
    <row r="2328" spans="3:8" x14ac:dyDescent="0.25">
      <c r="C2328" s="56"/>
      <c r="D2328" s="60"/>
      <c r="E2328" s="60"/>
      <c r="F2328" s="59"/>
      <c r="G2328" s="59"/>
      <c r="H2328" s="59"/>
    </row>
    <row r="2329" spans="3:8" x14ac:dyDescent="0.25">
      <c r="C2329" s="56"/>
      <c r="D2329" s="60"/>
      <c r="E2329" s="60"/>
      <c r="F2329" s="59"/>
      <c r="G2329" s="59"/>
      <c r="H2329" s="59"/>
    </row>
    <row r="2330" spans="3:8" x14ac:dyDescent="0.25">
      <c r="C2330" s="56"/>
      <c r="D2330" s="60"/>
      <c r="E2330" s="60"/>
      <c r="F2330" s="59"/>
      <c r="G2330" s="59"/>
      <c r="H2330" s="59"/>
    </row>
    <row r="2331" spans="3:8" x14ac:dyDescent="0.25">
      <c r="C2331" s="56"/>
      <c r="D2331" s="60"/>
      <c r="E2331" s="60"/>
      <c r="F2331" s="59"/>
      <c r="G2331" s="59"/>
      <c r="H2331" s="59"/>
    </row>
    <row r="2332" spans="3:8" x14ac:dyDescent="0.25">
      <c r="C2332" s="56"/>
      <c r="D2332" s="60"/>
      <c r="E2332" s="60"/>
      <c r="F2332" s="59"/>
      <c r="G2332" s="59"/>
      <c r="H2332" s="59"/>
    </row>
    <row r="2333" spans="3:8" x14ac:dyDescent="0.25">
      <c r="C2333" s="56"/>
      <c r="D2333" s="60"/>
      <c r="E2333" s="60"/>
      <c r="F2333" s="59"/>
      <c r="G2333" s="59"/>
      <c r="H2333" s="59"/>
    </row>
    <row r="2334" spans="3:8" x14ac:dyDescent="0.25">
      <c r="C2334" s="56"/>
      <c r="D2334" s="60"/>
      <c r="E2334" s="60"/>
      <c r="F2334" s="59"/>
      <c r="G2334" s="59"/>
      <c r="H2334" s="59"/>
    </row>
    <row r="2335" spans="3:8" x14ac:dyDescent="0.25">
      <c r="C2335" s="56"/>
      <c r="D2335" s="60"/>
      <c r="E2335" s="60"/>
      <c r="F2335" s="59"/>
      <c r="G2335" s="59"/>
      <c r="H2335" s="59"/>
    </row>
    <row r="2336" spans="3:8" x14ac:dyDescent="0.25">
      <c r="C2336" s="56"/>
      <c r="D2336" s="60"/>
      <c r="E2336" s="60"/>
      <c r="F2336" s="59"/>
      <c r="G2336" s="59"/>
      <c r="H2336" s="59"/>
    </row>
    <row r="2337" spans="3:8" x14ac:dyDescent="0.25">
      <c r="C2337" s="56"/>
      <c r="D2337" s="60"/>
      <c r="E2337" s="60"/>
      <c r="F2337" s="59"/>
      <c r="G2337" s="59"/>
      <c r="H2337" s="59"/>
    </row>
    <row r="2338" spans="3:8" x14ac:dyDescent="0.25">
      <c r="C2338" s="56"/>
      <c r="D2338" s="60"/>
      <c r="E2338" s="60"/>
      <c r="F2338" s="59"/>
      <c r="G2338" s="59"/>
      <c r="H2338" s="59"/>
    </row>
    <row r="2339" spans="3:8" x14ac:dyDescent="0.25">
      <c r="C2339" s="56"/>
      <c r="D2339" s="60"/>
      <c r="E2339" s="60"/>
      <c r="F2339" s="59"/>
      <c r="G2339" s="59"/>
      <c r="H2339" s="59"/>
    </row>
    <row r="2340" spans="3:8" x14ac:dyDescent="0.25">
      <c r="C2340" s="56"/>
      <c r="D2340" s="60"/>
      <c r="E2340" s="60"/>
      <c r="F2340" s="59"/>
      <c r="G2340" s="59"/>
      <c r="H2340" s="59"/>
    </row>
    <row r="2341" spans="3:8" x14ac:dyDescent="0.25">
      <c r="C2341" s="56"/>
      <c r="D2341" s="60"/>
      <c r="E2341" s="60"/>
      <c r="F2341" s="59"/>
      <c r="G2341" s="59"/>
      <c r="H2341" s="59"/>
    </row>
    <row r="2342" spans="3:8" x14ac:dyDescent="0.25">
      <c r="C2342" s="56"/>
      <c r="D2342" s="60"/>
      <c r="E2342" s="60"/>
      <c r="F2342" s="59"/>
      <c r="G2342" s="59"/>
      <c r="H2342" s="59"/>
    </row>
    <row r="2343" spans="3:8" x14ac:dyDescent="0.25">
      <c r="C2343" s="56"/>
      <c r="D2343" s="60"/>
      <c r="E2343" s="60"/>
      <c r="F2343" s="59"/>
      <c r="G2343" s="59"/>
      <c r="H2343" s="59"/>
    </row>
    <row r="2344" spans="3:8" x14ac:dyDescent="0.25">
      <c r="C2344" s="56"/>
      <c r="D2344" s="60"/>
      <c r="E2344" s="60"/>
      <c r="F2344" s="59"/>
      <c r="G2344" s="59"/>
      <c r="H2344" s="59"/>
    </row>
    <row r="2345" spans="3:8" x14ac:dyDescent="0.25">
      <c r="C2345" s="56"/>
      <c r="D2345" s="60"/>
      <c r="E2345" s="60"/>
      <c r="F2345" s="59"/>
      <c r="G2345" s="59"/>
      <c r="H2345" s="59"/>
    </row>
    <row r="2346" spans="3:8" x14ac:dyDescent="0.25">
      <c r="C2346" s="56"/>
      <c r="D2346" s="60"/>
      <c r="E2346" s="60"/>
      <c r="F2346" s="59"/>
      <c r="G2346" s="59"/>
      <c r="H2346" s="59"/>
    </row>
    <row r="2347" spans="3:8" x14ac:dyDescent="0.25">
      <c r="C2347" s="56"/>
      <c r="D2347" s="60"/>
      <c r="E2347" s="60"/>
      <c r="F2347" s="59"/>
      <c r="G2347" s="59"/>
      <c r="H2347" s="59"/>
    </row>
    <row r="2348" spans="3:8" x14ac:dyDescent="0.25">
      <c r="C2348" s="56"/>
      <c r="D2348" s="60"/>
      <c r="E2348" s="60"/>
      <c r="F2348" s="59"/>
      <c r="G2348" s="59"/>
      <c r="H2348" s="59"/>
    </row>
    <row r="2349" spans="3:8" x14ac:dyDescent="0.25">
      <c r="C2349" s="56"/>
      <c r="D2349" s="60"/>
      <c r="E2349" s="60"/>
      <c r="F2349" s="59"/>
      <c r="G2349" s="59"/>
      <c r="H2349" s="59"/>
    </row>
    <row r="2350" spans="3:8" x14ac:dyDescent="0.25">
      <c r="C2350" s="56"/>
      <c r="D2350" s="60"/>
      <c r="E2350" s="60"/>
      <c r="F2350" s="59"/>
      <c r="G2350" s="59"/>
      <c r="H2350" s="59"/>
    </row>
    <row r="2351" spans="3:8" x14ac:dyDescent="0.25">
      <c r="C2351" s="56"/>
      <c r="D2351" s="60"/>
      <c r="E2351" s="60"/>
      <c r="F2351" s="59"/>
      <c r="G2351" s="59"/>
      <c r="H2351" s="59"/>
    </row>
    <row r="2352" spans="3:8" x14ac:dyDescent="0.25">
      <c r="C2352" s="56"/>
      <c r="D2352" s="60"/>
      <c r="E2352" s="60"/>
      <c r="F2352" s="59"/>
      <c r="G2352" s="59"/>
      <c r="H2352" s="59"/>
    </row>
    <row r="2353" spans="3:8" x14ac:dyDescent="0.25">
      <c r="C2353" s="56"/>
      <c r="D2353" s="60"/>
      <c r="E2353" s="60"/>
      <c r="F2353" s="59"/>
      <c r="G2353" s="59"/>
      <c r="H2353" s="59"/>
    </row>
    <row r="2354" spans="3:8" x14ac:dyDescent="0.25">
      <c r="C2354" s="56"/>
      <c r="D2354" s="60"/>
      <c r="E2354" s="60"/>
      <c r="F2354" s="59"/>
      <c r="G2354" s="59"/>
      <c r="H2354" s="59"/>
    </row>
    <row r="2355" spans="3:8" x14ac:dyDescent="0.25">
      <c r="C2355" s="56"/>
      <c r="D2355" s="60"/>
      <c r="E2355" s="60"/>
      <c r="F2355" s="59"/>
      <c r="G2355" s="59"/>
      <c r="H2355" s="59"/>
    </row>
    <row r="2356" spans="3:8" x14ac:dyDescent="0.25">
      <c r="C2356" s="56"/>
      <c r="D2356" s="60"/>
      <c r="E2356" s="60"/>
      <c r="F2356" s="59"/>
      <c r="G2356" s="59"/>
      <c r="H2356" s="59"/>
    </row>
    <row r="2357" spans="3:8" x14ac:dyDescent="0.25">
      <c r="C2357" s="56"/>
      <c r="D2357" s="60"/>
      <c r="E2357" s="60"/>
      <c r="F2357" s="59"/>
      <c r="G2357" s="59"/>
      <c r="H2357" s="59"/>
    </row>
    <row r="2358" spans="3:8" x14ac:dyDescent="0.25">
      <c r="C2358" s="56"/>
      <c r="D2358" s="60"/>
      <c r="E2358" s="60"/>
      <c r="F2358" s="59"/>
      <c r="G2358" s="59"/>
      <c r="H2358" s="59"/>
    </row>
    <row r="2359" spans="3:8" x14ac:dyDescent="0.25">
      <c r="C2359" s="56"/>
      <c r="D2359" s="60"/>
      <c r="E2359" s="60"/>
      <c r="F2359" s="59"/>
      <c r="G2359" s="59"/>
      <c r="H2359" s="59"/>
    </row>
    <row r="2360" spans="3:8" x14ac:dyDescent="0.25">
      <c r="C2360" s="56"/>
      <c r="D2360" s="60"/>
      <c r="E2360" s="60"/>
      <c r="F2360" s="59"/>
      <c r="G2360" s="59"/>
      <c r="H2360" s="59"/>
    </row>
    <row r="2361" spans="3:8" x14ac:dyDescent="0.25">
      <c r="C2361" s="56"/>
      <c r="D2361" s="60"/>
      <c r="E2361" s="60"/>
      <c r="F2361" s="59"/>
      <c r="G2361" s="59"/>
      <c r="H2361" s="59"/>
    </row>
    <row r="2362" spans="3:8" x14ac:dyDescent="0.25">
      <c r="C2362" s="56"/>
      <c r="D2362" s="60"/>
      <c r="E2362" s="60"/>
      <c r="F2362" s="59"/>
      <c r="G2362" s="59"/>
      <c r="H2362" s="59"/>
    </row>
    <row r="2363" spans="3:8" x14ac:dyDescent="0.25">
      <c r="C2363" s="56"/>
      <c r="D2363" s="60"/>
      <c r="E2363" s="60"/>
      <c r="F2363" s="59"/>
      <c r="G2363" s="59"/>
      <c r="H2363" s="59"/>
    </row>
    <row r="2364" spans="3:8" x14ac:dyDescent="0.25">
      <c r="C2364" s="56"/>
      <c r="D2364" s="60"/>
      <c r="E2364" s="60"/>
      <c r="F2364" s="59"/>
      <c r="G2364" s="59"/>
      <c r="H2364" s="59"/>
    </row>
    <row r="2365" spans="3:8" x14ac:dyDescent="0.25">
      <c r="C2365" s="56"/>
      <c r="D2365" s="60"/>
      <c r="E2365" s="60"/>
      <c r="F2365" s="59"/>
      <c r="G2365" s="59"/>
      <c r="H2365" s="59"/>
    </row>
    <row r="2366" spans="3:8" x14ac:dyDescent="0.25">
      <c r="C2366" s="56"/>
      <c r="D2366" s="60"/>
      <c r="E2366" s="60"/>
      <c r="F2366" s="59"/>
      <c r="G2366" s="59"/>
      <c r="H2366" s="59"/>
    </row>
    <row r="2367" spans="3:8" x14ac:dyDescent="0.25">
      <c r="C2367" s="56"/>
      <c r="D2367" s="60"/>
      <c r="E2367" s="60"/>
      <c r="F2367" s="59"/>
      <c r="G2367" s="59"/>
      <c r="H2367" s="59"/>
    </row>
    <row r="2368" spans="3:8" x14ac:dyDescent="0.25">
      <c r="C2368" s="56"/>
      <c r="D2368" s="60"/>
      <c r="E2368" s="60"/>
      <c r="F2368" s="59"/>
      <c r="G2368" s="59"/>
      <c r="H2368" s="59"/>
    </row>
    <row r="2369" spans="3:8" x14ac:dyDescent="0.25">
      <c r="C2369" s="56"/>
      <c r="D2369" s="60"/>
      <c r="E2369" s="60"/>
      <c r="F2369" s="59"/>
      <c r="G2369" s="59"/>
      <c r="H2369" s="59"/>
    </row>
    <row r="2370" spans="3:8" x14ac:dyDescent="0.25">
      <c r="C2370" s="56"/>
      <c r="D2370" s="60"/>
      <c r="E2370" s="60"/>
      <c r="F2370" s="59"/>
      <c r="G2370" s="59"/>
      <c r="H2370" s="59"/>
    </row>
    <row r="2371" spans="3:8" x14ac:dyDescent="0.25">
      <c r="C2371" s="56"/>
      <c r="D2371" s="60"/>
      <c r="E2371" s="60"/>
      <c r="F2371" s="59"/>
      <c r="G2371" s="59"/>
      <c r="H2371" s="59"/>
    </row>
    <row r="2372" spans="3:8" x14ac:dyDescent="0.25">
      <c r="C2372" s="56"/>
      <c r="D2372" s="60"/>
      <c r="E2372" s="60"/>
      <c r="F2372" s="59"/>
      <c r="G2372" s="59"/>
      <c r="H2372" s="59"/>
    </row>
    <row r="2373" spans="3:8" x14ac:dyDescent="0.25">
      <c r="C2373" s="56"/>
      <c r="D2373" s="60"/>
      <c r="E2373" s="60"/>
      <c r="F2373" s="59"/>
      <c r="G2373" s="59"/>
      <c r="H2373" s="59"/>
    </row>
    <row r="2374" spans="3:8" x14ac:dyDescent="0.25">
      <c r="C2374" s="56"/>
      <c r="D2374" s="60"/>
      <c r="E2374" s="60"/>
      <c r="F2374" s="59"/>
      <c r="G2374" s="59"/>
      <c r="H2374" s="59"/>
    </row>
    <row r="2375" spans="3:8" x14ac:dyDescent="0.25">
      <c r="C2375" s="56"/>
      <c r="D2375" s="60"/>
      <c r="E2375" s="60"/>
      <c r="F2375" s="59"/>
      <c r="G2375" s="59"/>
      <c r="H2375" s="59"/>
    </row>
    <row r="2376" spans="3:8" x14ac:dyDescent="0.25">
      <c r="C2376" s="56"/>
      <c r="D2376" s="60"/>
      <c r="E2376" s="60"/>
      <c r="F2376" s="59"/>
      <c r="G2376" s="59"/>
      <c r="H2376" s="59"/>
    </row>
    <row r="2377" spans="3:8" x14ac:dyDescent="0.25">
      <c r="C2377" s="56"/>
      <c r="D2377" s="60"/>
      <c r="E2377" s="60"/>
      <c r="F2377" s="59"/>
      <c r="G2377" s="59"/>
      <c r="H2377" s="59"/>
    </row>
    <row r="2378" spans="3:8" x14ac:dyDescent="0.25">
      <c r="C2378" s="56"/>
      <c r="D2378" s="60"/>
      <c r="E2378" s="60"/>
      <c r="F2378" s="59"/>
      <c r="G2378" s="59"/>
      <c r="H2378" s="59"/>
    </row>
    <row r="2379" spans="3:8" x14ac:dyDescent="0.25">
      <c r="C2379" s="56"/>
      <c r="D2379" s="60"/>
      <c r="E2379" s="60"/>
      <c r="F2379" s="59"/>
      <c r="G2379" s="59"/>
      <c r="H2379" s="59"/>
    </row>
    <row r="2380" spans="3:8" x14ac:dyDescent="0.25">
      <c r="C2380" s="56"/>
      <c r="D2380" s="60"/>
      <c r="E2380" s="60"/>
      <c r="F2380" s="59"/>
      <c r="G2380" s="59"/>
      <c r="H2380" s="59"/>
    </row>
    <row r="2381" spans="3:8" x14ac:dyDescent="0.25">
      <c r="C2381" s="56"/>
      <c r="D2381" s="60"/>
      <c r="E2381" s="60"/>
      <c r="F2381" s="59"/>
      <c r="G2381" s="59"/>
      <c r="H2381" s="59"/>
    </row>
    <row r="2382" spans="3:8" x14ac:dyDescent="0.25">
      <c r="C2382" s="56"/>
      <c r="D2382" s="60"/>
      <c r="E2382" s="60"/>
      <c r="F2382" s="59"/>
      <c r="G2382" s="59"/>
      <c r="H2382" s="59"/>
    </row>
    <row r="2383" spans="3:8" x14ac:dyDescent="0.25">
      <c r="C2383" s="56"/>
      <c r="D2383" s="60"/>
      <c r="E2383" s="60"/>
      <c r="F2383" s="59"/>
      <c r="G2383" s="59"/>
      <c r="H2383" s="59"/>
    </row>
    <row r="2384" spans="3:8" x14ac:dyDescent="0.25">
      <c r="C2384" s="56"/>
      <c r="D2384" s="60"/>
      <c r="E2384" s="60"/>
      <c r="F2384" s="59"/>
      <c r="G2384" s="59"/>
      <c r="H2384" s="59"/>
    </row>
    <row r="2385" spans="3:8" x14ac:dyDescent="0.25">
      <c r="C2385" s="56"/>
      <c r="D2385" s="60"/>
      <c r="E2385" s="60"/>
      <c r="F2385" s="59"/>
      <c r="G2385" s="59"/>
      <c r="H2385" s="59"/>
    </row>
    <row r="2386" spans="3:8" x14ac:dyDescent="0.25">
      <c r="C2386" s="56"/>
      <c r="D2386" s="60"/>
      <c r="E2386" s="60"/>
      <c r="F2386" s="59"/>
      <c r="G2386" s="59"/>
      <c r="H2386" s="59"/>
    </row>
    <row r="2387" spans="3:8" x14ac:dyDescent="0.25">
      <c r="C2387" s="56"/>
      <c r="D2387" s="60"/>
      <c r="E2387" s="60"/>
      <c r="F2387" s="59"/>
      <c r="G2387" s="59"/>
      <c r="H2387" s="59"/>
    </row>
    <row r="2388" spans="3:8" x14ac:dyDescent="0.25">
      <c r="C2388" s="56"/>
      <c r="D2388" s="60"/>
      <c r="E2388" s="60"/>
      <c r="F2388" s="59"/>
      <c r="G2388" s="59"/>
      <c r="H2388" s="59"/>
    </row>
    <row r="2389" spans="3:8" x14ac:dyDescent="0.25">
      <c r="C2389" s="56"/>
      <c r="D2389" s="60"/>
      <c r="E2389" s="60"/>
      <c r="F2389" s="59"/>
      <c r="G2389" s="59"/>
      <c r="H2389" s="59"/>
    </row>
    <row r="2390" spans="3:8" x14ac:dyDescent="0.25">
      <c r="C2390" s="56"/>
      <c r="D2390" s="60"/>
      <c r="E2390" s="60"/>
      <c r="F2390" s="59"/>
      <c r="G2390" s="59"/>
      <c r="H2390" s="59"/>
    </row>
    <row r="2391" spans="3:8" x14ac:dyDescent="0.25">
      <c r="C2391" s="56"/>
      <c r="D2391" s="60"/>
      <c r="E2391" s="60"/>
      <c r="F2391" s="59"/>
      <c r="G2391" s="59"/>
      <c r="H2391" s="59"/>
    </row>
    <row r="2392" spans="3:8" x14ac:dyDescent="0.25">
      <c r="C2392" s="56"/>
      <c r="D2392" s="60"/>
      <c r="E2392" s="60"/>
      <c r="F2392" s="59"/>
      <c r="G2392" s="59"/>
      <c r="H2392" s="59"/>
    </row>
    <row r="2393" spans="3:8" x14ac:dyDescent="0.25">
      <c r="C2393" s="56"/>
      <c r="D2393" s="60"/>
      <c r="E2393" s="60"/>
      <c r="F2393" s="59"/>
      <c r="G2393" s="59"/>
      <c r="H2393" s="59"/>
    </row>
    <row r="2394" spans="3:8" x14ac:dyDescent="0.25">
      <c r="C2394" s="56"/>
      <c r="D2394" s="60"/>
      <c r="E2394" s="60"/>
      <c r="F2394" s="59"/>
      <c r="G2394" s="59"/>
      <c r="H2394" s="59"/>
    </row>
    <row r="2395" spans="3:8" x14ac:dyDescent="0.25">
      <c r="C2395" s="56"/>
      <c r="D2395" s="60"/>
      <c r="E2395" s="60"/>
      <c r="F2395" s="59"/>
      <c r="G2395" s="59"/>
      <c r="H2395" s="59"/>
    </row>
    <row r="2396" spans="3:8" x14ac:dyDescent="0.25">
      <c r="C2396" s="56"/>
      <c r="D2396" s="60"/>
      <c r="E2396" s="60"/>
      <c r="F2396" s="59"/>
      <c r="G2396" s="59"/>
      <c r="H2396" s="59"/>
    </row>
    <row r="2397" spans="3:8" x14ac:dyDescent="0.25">
      <c r="C2397" s="56"/>
      <c r="D2397" s="60"/>
      <c r="E2397" s="60"/>
      <c r="F2397" s="59"/>
      <c r="G2397" s="59"/>
      <c r="H2397" s="59"/>
    </row>
    <row r="2398" spans="3:8" x14ac:dyDescent="0.25">
      <c r="C2398" s="56"/>
      <c r="D2398" s="60"/>
      <c r="E2398" s="60"/>
      <c r="F2398" s="59"/>
      <c r="G2398" s="59"/>
      <c r="H2398" s="59"/>
    </row>
    <row r="2399" spans="3:8" x14ac:dyDescent="0.25">
      <c r="C2399" s="56"/>
      <c r="D2399" s="60"/>
      <c r="E2399" s="60"/>
      <c r="F2399" s="59"/>
      <c r="G2399" s="59"/>
      <c r="H2399" s="59"/>
    </row>
    <row r="2400" spans="3:8" x14ac:dyDescent="0.25">
      <c r="C2400" s="56"/>
      <c r="D2400" s="60"/>
      <c r="E2400" s="60"/>
      <c r="F2400" s="59"/>
      <c r="G2400" s="59"/>
      <c r="H2400" s="59"/>
    </row>
    <row r="2401" spans="3:8" x14ac:dyDescent="0.25">
      <c r="C2401" s="56"/>
      <c r="D2401" s="60"/>
      <c r="E2401" s="60"/>
      <c r="F2401" s="59"/>
      <c r="G2401" s="59"/>
      <c r="H2401" s="59"/>
    </row>
    <row r="2402" spans="3:8" x14ac:dyDescent="0.25">
      <c r="C2402" s="56"/>
      <c r="D2402" s="60"/>
      <c r="E2402" s="60"/>
      <c r="F2402" s="59"/>
      <c r="G2402" s="59"/>
      <c r="H2402" s="59"/>
    </row>
    <row r="2403" spans="3:8" x14ac:dyDescent="0.25">
      <c r="C2403" s="56"/>
      <c r="D2403" s="60"/>
      <c r="E2403" s="60"/>
      <c r="F2403" s="59"/>
      <c r="G2403" s="59"/>
      <c r="H2403" s="59"/>
    </row>
    <row r="2404" spans="3:8" x14ac:dyDescent="0.25">
      <c r="C2404" s="56"/>
      <c r="D2404" s="60"/>
      <c r="E2404" s="60"/>
      <c r="F2404" s="59"/>
      <c r="G2404" s="59"/>
      <c r="H2404" s="59"/>
    </row>
    <row r="2405" spans="3:8" x14ac:dyDescent="0.25">
      <c r="C2405" s="56"/>
      <c r="D2405" s="60"/>
      <c r="E2405" s="60"/>
      <c r="F2405" s="59"/>
      <c r="G2405" s="59"/>
      <c r="H2405" s="59"/>
    </row>
    <row r="2406" spans="3:8" x14ac:dyDescent="0.25">
      <c r="C2406" s="56"/>
      <c r="D2406" s="60"/>
      <c r="E2406" s="60"/>
      <c r="F2406" s="59"/>
      <c r="G2406" s="59"/>
      <c r="H2406" s="59"/>
    </row>
    <row r="2407" spans="3:8" x14ac:dyDescent="0.25">
      <c r="C2407" s="56"/>
      <c r="D2407" s="60"/>
      <c r="E2407" s="60"/>
      <c r="F2407" s="59"/>
      <c r="G2407" s="59"/>
      <c r="H2407" s="59"/>
    </row>
    <row r="2408" spans="3:8" x14ac:dyDescent="0.25">
      <c r="C2408" s="56"/>
      <c r="D2408" s="60"/>
      <c r="E2408" s="60"/>
      <c r="F2408" s="59"/>
      <c r="G2408" s="59"/>
      <c r="H2408" s="59"/>
    </row>
    <row r="2409" spans="3:8" x14ac:dyDescent="0.25">
      <c r="C2409" s="56"/>
      <c r="D2409" s="60"/>
      <c r="E2409" s="60"/>
      <c r="F2409" s="59"/>
      <c r="G2409" s="59"/>
      <c r="H2409" s="59"/>
    </row>
    <row r="2410" spans="3:8" x14ac:dyDescent="0.25">
      <c r="C2410" s="56"/>
      <c r="D2410" s="60"/>
      <c r="E2410" s="60"/>
      <c r="F2410" s="59"/>
      <c r="G2410" s="59"/>
      <c r="H2410" s="59"/>
    </row>
    <row r="2411" spans="3:8" x14ac:dyDescent="0.25">
      <c r="C2411" s="56"/>
      <c r="D2411" s="60"/>
      <c r="E2411" s="60"/>
      <c r="F2411" s="59"/>
      <c r="G2411" s="59"/>
      <c r="H2411" s="59"/>
    </row>
    <row r="2412" spans="3:8" x14ac:dyDescent="0.25">
      <c r="C2412" s="56"/>
      <c r="D2412" s="60"/>
      <c r="E2412" s="60"/>
      <c r="F2412" s="59"/>
      <c r="G2412" s="59"/>
      <c r="H2412" s="59"/>
    </row>
    <row r="2413" spans="3:8" x14ac:dyDescent="0.25">
      <c r="C2413" s="56"/>
      <c r="D2413" s="60"/>
      <c r="E2413" s="60"/>
      <c r="F2413" s="59"/>
      <c r="G2413" s="59"/>
      <c r="H2413" s="59"/>
    </row>
    <row r="2414" spans="3:8" x14ac:dyDescent="0.25">
      <c r="C2414" s="56"/>
      <c r="D2414" s="60"/>
      <c r="E2414" s="60"/>
      <c r="F2414" s="59"/>
      <c r="G2414" s="59"/>
      <c r="H2414" s="59"/>
    </row>
    <row r="2415" spans="3:8" x14ac:dyDescent="0.25">
      <c r="C2415" s="56"/>
      <c r="D2415" s="60"/>
      <c r="E2415" s="60"/>
      <c r="F2415" s="59"/>
      <c r="G2415" s="59"/>
      <c r="H2415" s="59"/>
    </row>
    <row r="2416" spans="3:8" x14ac:dyDescent="0.25">
      <c r="C2416" s="56"/>
      <c r="D2416" s="60"/>
      <c r="E2416" s="60"/>
      <c r="F2416" s="59"/>
      <c r="G2416" s="59"/>
      <c r="H2416" s="59"/>
    </row>
    <row r="2417" spans="3:8" x14ac:dyDescent="0.25">
      <c r="C2417" s="56"/>
      <c r="D2417" s="60"/>
      <c r="E2417" s="60"/>
      <c r="F2417" s="59"/>
      <c r="G2417" s="59"/>
      <c r="H2417" s="59"/>
    </row>
    <row r="2418" spans="3:8" x14ac:dyDescent="0.25">
      <c r="C2418" s="56"/>
      <c r="D2418" s="60"/>
      <c r="E2418" s="60"/>
      <c r="F2418" s="59"/>
      <c r="G2418" s="59"/>
      <c r="H2418" s="59"/>
    </row>
    <row r="2419" spans="3:8" x14ac:dyDescent="0.25">
      <c r="C2419" s="56"/>
      <c r="D2419" s="60"/>
      <c r="E2419" s="60"/>
      <c r="F2419" s="59"/>
      <c r="G2419" s="59"/>
      <c r="H2419" s="59"/>
    </row>
    <row r="2420" spans="3:8" x14ac:dyDescent="0.25">
      <c r="C2420" s="56"/>
      <c r="D2420" s="60"/>
      <c r="E2420" s="60"/>
      <c r="F2420" s="59"/>
      <c r="G2420" s="59"/>
      <c r="H2420" s="59"/>
    </row>
    <row r="2421" spans="3:8" x14ac:dyDescent="0.25">
      <c r="C2421" s="56"/>
      <c r="D2421" s="60"/>
      <c r="E2421" s="60"/>
      <c r="F2421" s="59"/>
      <c r="G2421" s="59"/>
      <c r="H2421" s="59"/>
    </row>
    <row r="2422" spans="3:8" x14ac:dyDescent="0.25">
      <c r="C2422" s="56"/>
      <c r="D2422" s="60"/>
      <c r="E2422" s="60"/>
      <c r="F2422" s="59"/>
      <c r="G2422" s="59"/>
      <c r="H2422" s="59"/>
    </row>
    <row r="2423" spans="3:8" x14ac:dyDescent="0.25">
      <c r="C2423" s="56"/>
      <c r="D2423" s="60"/>
      <c r="E2423" s="60"/>
      <c r="F2423" s="59"/>
      <c r="G2423" s="59"/>
      <c r="H2423" s="59"/>
    </row>
    <row r="2424" spans="3:8" x14ac:dyDescent="0.25">
      <c r="C2424" s="56"/>
      <c r="D2424" s="60"/>
      <c r="E2424" s="60"/>
      <c r="F2424" s="59"/>
      <c r="G2424" s="59"/>
      <c r="H2424" s="59"/>
    </row>
    <row r="2425" spans="3:8" x14ac:dyDescent="0.25">
      <c r="C2425" s="56"/>
      <c r="D2425" s="60"/>
      <c r="E2425" s="60"/>
      <c r="F2425" s="59"/>
      <c r="G2425" s="59"/>
      <c r="H2425" s="59"/>
    </row>
    <row r="2426" spans="3:8" x14ac:dyDescent="0.25">
      <c r="C2426" s="56"/>
      <c r="D2426" s="60"/>
      <c r="E2426" s="60"/>
      <c r="F2426" s="59"/>
      <c r="G2426" s="59"/>
      <c r="H2426" s="59"/>
    </row>
    <row r="2427" spans="3:8" x14ac:dyDescent="0.25">
      <c r="C2427" s="56"/>
      <c r="D2427" s="60"/>
      <c r="E2427" s="60"/>
      <c r="F2427" s="59"/>
      <c r="G2427" s="59"/>
      <c r="H2427" s="59"/>
    </row>
    <row r="2428" spans="3:8" x14ac:dyDescent="0.25">
      <c r="C2428" s="56"/>
      <c r="D2428" s="60"/>
      <c r="E2428" s="60"/>
      <c r="F2428" s="59"/>
      <c r="G2428" s="59"/>
      <c r="H2428" s="59"/>
    </row>
    <row r="2429" spans="3:8" x14ac:dyDescent="0.25">
      <c r="C2429" s="56"/>
      <c r="D2429" s="60"/>
      <c r="E2429" s="60"/>
      <c r="F2429" s="59"/>
      <c r="G2429" s="59"/>
      <c r="H2429" s="59"/>
    </row>
    <row r="2430" spans="3:8" x14ac:dyDescent="0.25">
      <c r="C2430" s="56"/>
      <c r="D2430" s="60"/>
      <c r="E2430" s="60"/>
      <c r="F2430" s="59"/>
      <c r="G2430" s="59"/>
      <c r="H2430" s="59"/>
    </row>
    <row r="2431" spans="3:8" x14ac:dyDescent="0.25">
      <c r="C2431" s="56"/>
      <c r="D2431" s="60"/>
      <c r="E2431" s="60"/>
      <c r="F2431" s="59"/>
      <c r="G2431" s="59"/>
      <c r="H2431" s="59"/>
    </row>
    <row r="2432" spans="3:8" x14ac:dyDescent="0.25">
      <c r="C2432" s="56"/>
      <c r="D2432" s="60"/>
      <c r="E2432" s="60"/>
      <c r="F2432" s="59"/>
      <c r="G2432" s="59"/>
      <c r="H2432" s="59"/>
    </row>
    <row r="2433" spans="3:8" x14ac:dyDescent="0.25">
      <c r="C2433" s="56"/>
      <c r="D2433" s="60"/>
      <c r="E2433" s="60"/>
      <c r="F2433" s="59"/>
      <c r="G2433" s="59"/>
      <c r="H2433" s="59"/>
    </row>
    <row r="2434" spans="3:8" x14ac:dyDescent="0.25">
      <c r="C2434" s="56"/>
      <c r="D2434" s="60"/>
      <c r="E2434" s="60"/>
      <c r="F2434" s="59"/>
      <c r="G2434" s="59"/>
      <c r="H2434" s="59"/>
    </row>
    <row r="2435" spans="3:8" x14ac:dyDescent="0.25">
      <c r="C2435" s="56"/>
      <c r="D2435" s="60"/>
      <c r="E2435" s="60"/>
      <c r="F2435" s="59"/>
      <c r="G2435" s="59"/>
      <c r="H2435" s="59"/>
    </row>
    <row r="2436" spans="3:8" x14ac:dyDescent="0.25">
      <c r="C2436" s="56"/>
      <c r="D2436" s="60"/>
      <c r="E2436" s="60"/>
      <c r="F2436" s="59"/>
      <c r="G2436" s="59"/>
      <c r="H2436" s="59"/>
    </row>
    <row r="2437" spans="3:8" x14ac:dyDescent="0.25">
      <c r="C2437" s="56"/>
      <c r="D2437" s="60"/>
      <c r="E2437" s="60"/>
      <c r="F2437" s="59"/>
      <c r="G2437" s="59"/>
      <c r="H2437" s="59"/>
    </row>
    <row r="2438" spans="3:8" x14ac:dyDescent="0.25">
      <c r="C2438" s="56"/>
      <c r="D2438" s="60"/>
      <c r="E2438" s="60"/>
      <c r="F2438" s="59"/>
      <c r="G2438" s="59"/>
      <c r="H2438" s="59"/>
    </row>
    <row r="2439" spans="3:8" x14ac:dyDescent="0.25">
      <c r="C2439" s="56"/>
      <c r="D2439" s="60"/>
      <c r="E2439" s="60"/>
      <c r="F2439" s="59"/>
      <c r="G2439" s="59"/>
      <c r="H2439" s="59"/>
    </row>
    <row r="2440" spans="3:8" x14ac:dyDescent="0.25">
      <c r="C2440" s="56"/>
      <c r="D2440" s="60"/>
      <c r="E2440" s="60"/>
      <c r="F2440" s="59"/>
      <c r="G2440" s="59"/>
      <c r="H2440" s="59"/>
    </row>
    <row r="2441" spans="3:8" x14ac:dyDescent="0.25">
      <c r="C2441" s="56"/>
      <c r="D2441" s="60"/>
      <c r="E2441" s="60"/>
      <c r="F2441" s="59"/>
      <c r="G2441" s="59"/>
      <c r="H2441" s="59"/>
    </row>
    <row r="2442" spans="3:8" x14ac:dyDescent="0.25">
      <c r="C2442" s="56"/>
      <c r="D2442" s="60"/>
      <c r="E2442" s="60"/>
      <c r="F2442" s="59"/>
      <c r="G2442" s="59"/>
      <c r="H2442" s="59"/>
    </row>
    <row r="2443" spans="3:8" x14ac:dyDescent="0.25">
      <c r="C2443" s="56"/>
      <c r="D2443" s="60"/>
      <c r="E2443" s="60"/>
      <c r="F2443" s="59"/>
      <c r="G2443" s="59"/>
      <c r="H2443" s="59"/>
    </row>
    <row r="2444" spans="3:8" x14ac:dyDescent="0.25">
      <c r="C2444" s="56"/>
      <c r="D2444" s="60"/>
      <c r="E2444" s="60"/>
      <c r="F2444" s="59"/>
      <c r="G2444" s="59"/>
      <c r="H2444" s="59"/>
    </row>
    <row r="2445" spans="3:8" x14ac:dyDescent="0.25">
      <c r="C2445" s="56"/>
      <c r="D2445" s="60"/>
      <c r="E2445" s="60"/>
      <c r="F2445" s="59"/>
      <c r="G2445" s="59"/>
      <c r="H2445" s="59"/>
    </row>
    <row r="2446" spans="3:8" x14ac:dyDescent="0.25">
      <c r="C2446" s="56"/>
      <c r="D2446" s="60"/>
      <c r="E2446" s="60"/>
      <c r="F2446" s="59"/>
      <c r="G2446" s="59"/>
      <c r="H2446" s="59"/>
    </row>
    <row r="2447" spans="3:8" x14ac:dyDescent="0.25">
      <c r="C2447" s="56"/>
      <c r="D2447" s="60"/>
      <c r="E2447" s="60"/>
      <c r="F2447" s="59"/>
      <c r="G2447" s="59"/>
      <c r="H2447" s="59"/>
    </row>
    <row r="2448" spans="3:8" x14ac:dyDescent="0.25">
      <c r="C2448" s="56"/>
      <c r="D2448" s="60"/>
      <c r="E2448" s="60"/>
      <c r="F2448" s="59"/>
      <c r="G2448" s="59"/>
      <c r="H2448" s="59"/>
    </row>
    <row r="2449" spans="3:8" x14ac:dyDescent="0.25">
      <c r="C2449" s="56"/>
      <c r="D2449" s="60"/>
      <c r="E2449" s="60"/>
      <c r="F2449" s="59"/>
      <c r="G2449" s="59"/>
      <c r="H2449" s="59"/>
    </row>
    <row r="2450" spans="3:8" x14ac:dyDescent="0.25">
      <c r="C2450" s="56"/>
      <c r="D2450" s="60"/>
      <c r="E2450" s="60"/>
      <c r="F2450" s="59"/>
      <c r="G2450" s="59"/>
      <c r="H2450" s="59"/>
    </row>
    <row r="2451" spans="3:8" x14ac:dyDescent="0.25">
      <c r="C2451" s="56"/>
      <c r="D2451" s="60"/>
      <c r="E2451" s="60"/>
      <c r="F2451" s="59"/>
      <c r="G2451" s="59"/>
      <c r="H2451" s="59"/>
    </row>
    <row r="2452" spans="3:8" x14ac:dyDescent="0.25">
      <c r="C2452" s="56"/>
      <c r="D2452" s="60"/>
      <c r="E2452" s="60"/>
      <c r="F2452" s="59"/>
      <c r="G2452" s="59"/>
      <c r="H2452" s="59"/>
    </row>
    <row r="2453" spans="3:8" x14ac:dyDescent="0.25">
      <c r="C2453" s="56"/>
      <c r="D2453" s="60"/>
      <c r="E2453" s="60"/>
      <c r="F2453" s="59"/>
      <c r="G2453" s="59"/>
      <c r="H2453" s="59"/>
    </row>
    <row r="2454" spans="3:8" x14ac:dyDescent="0.25">
      <c r="C2454" s="56"/>
      <c r="D2454" s="60"/>
      <c r="E2454" s="60"/>
      <c r="F2454" s="59"/>
      <c r="G2454" s="59"/>
      <c r="H2454" s="59"/>
    </row>
    <row r="2455" spans="3:8" x14ac:dyDescent="0.25">
      <c r="C2455" s="56"/>
      <c r="D2455" s="60"/>
      <c r="E2455" s="60"/>
      <c r="F2455" s="59"/>
      <c r="G2455" s="59"/>
      <c r="H2455" s="59"/>
    </row>
    <row r="2456" spans="3:8" x14ac:dyDescent="0.25">
      <c r="C2456" s="56"/>
      <c r="D2456" s="60"/>
      <c r="E2456" s="60"/>
      <c r="F2456" s="59"/>
      <c r="G2456" s="59"/>
      <c r="H2456" s="59"/>
    </row>
    <row r="2457" spans="3:8" x14ac:dyDescent="0.25">
      <c r="C2457" s="56"/>
      <c r="D2457" s="60"/>
      <c r="E2457" s="60"/>
      <c r="F2457" s="59"/>
      <c r="G2457" s="59"/>
      <c r="H2457" s="59"/>
    </row>
    <row r="2458" spans="3:8" x14ac:dyDescent="0.25">
      <c r="C2458" s="56"/>
      <c r="D2458" s="60"/>
      <c r="E2458" s="60"/>
      <c r="F2458" s="59"/>
      <c r="G2458" s="59"/>
      <c r="H2458" s="59"/>
    </row>
    <row r="2459" spans="3:8" x14ac:dyDescent="0.25">
      <c r="C2459" s="56"/>
      <c r="D2459" s="60"/>
      <c r="E2459" s="60"/>
      <c r="F2459" s="59"/>
      <c r="G2459" s="59"/>
      <c r="H2459" s="59"/>
    </row>
    <row r="2460" spans="3:8" x14ac:dyDescent="0.25">
      <c r="C2460" s="56"/>
      <c r="D2460" s="60"/>
      <c r="E2460" s="60"/>
      <c r="F2460" s="59"/>
      <c r="G2460" s="59"/>
      <c r="H2460" s="59"/>
    </row>
    <row r="2461" spans="3:8" x14ac:dyDescent="0.25">
      <c r="C2461" s="56"/>
      <c r="D2461" s="60"/>
      <c r="E2461" s="60"/>
      <c r="F2461" s="59"/>
      <c r="G2461" s="59"/>
      <c r="H2461" s="59"/>
    </row>
    <row r="2462" spans="3:8" x14ac:dyDescent="0.25">
      <c r="C2462" s="56"/>
      <c r="D2462" s="60"/>
      <c r="E2462" s="60"/>
      <c r="F2462" s="59"/>
      <c r="G2462" s="59"/>
      <c r="H2462" s="59"/>
    </row>
    <row r="2463" spans="3:8" x14ac:dyDescent="0.25">
      <c r="C2463" s="56"/>
      <c r="D2463" s="60"/>
      <c r="E2463" s="60"/>
      <c r="F2463" s="59"/>
      <c r="G2463" s="59"/>
      <c r="H2463" s="59"/>
    </row>
    <row r="2464" spans="3:8" x14ac:dyDescent="0.25">
      <c r="C2464" s="56"/>
      <c r="D2464" s="60"/>
      <c r="E2464" s="60"/>
      <c r="F2464" s="59"/>
      <c r="G2464" s="59"/>
      <c r="H2464" s="59"/>
    </row>
    <row r="2465" spans="3:8" x14ac:dyDescent="0.25">
      <c r="C2465" s="56"/>
      <c r="D2465" s="60"/>
      <c r="E2465" s="60"/>
      <c r="F2465" s="59"/>
      <c r="G2465" s="59"/>
      <c r="H2465" s="59"/>
    </row>
    <row r="2466" spans="3:8" x14ac:dyDescent="0.25">
      <c r="C2466" s="56"/>
      <c r="D2466" s="60"/>
      <c r="E2466" s="60"/>
      <c r="F2466" s="59"/>
      <c r="G2466" s="59"/>
      <c r="H2466" s="59"/>
    </row>
    <row r="2467" spans="3:8" x14ac:dyDescent="0.25">
      <c r="C2467" s="56"/>
      <c r="D2467" s="60"/>
      <c r="E2467" s="60"/>
      <c r="F2467" s="59"/>
      <c r="G2467" s="59"/>
      <c r="H2467" s="59"/>
    </row>
    <row r="2468" spans="3:8" x14ac:dyDescent="0.25">
      <c r="C2468" s="56"/>
      <c r="D2468" s="60"/>
      <c r="E2468" s="60"/>
      <c r="F2468" s="59"/>
      <c r="G2468" s="59"/>
      <c r="H2468" s="59"/>
    </row>
    <row r="2469" spans="3:8" x14ac:dyDescent="0.25">
      <c r="C2469" s="56"/>
      <c r="D2469" s="60"/>
      <c r="E2469" s="60"/>
      <c r="F2469" s="59"/>
      <c r="G2469" s="59"/>
      <c r="H2469" s="59"/>
    </row>
    <row r="2470" spans="3:8" x14ac:dyDescent="0.25">
      <c r="C2470" s="56"/>
      <c r="D2470" s="60"/>
      <c r="E2470" s="60"/>
      <c r="F2470" s="59"/>
      <c r="G2470" s="59"/>
      <c r="H2470" s="59"/>
    </row>
    <row r="2471" spans="3:8" x14ac:dyDescent="0.25">
      <c r="C2471" s="56"/>
      <c r="D2471" s="60"/>
      <c r="E2471" s="60"/>
      <c r="F2471" s="59"/>
      <c r="G2471" s="59"/>
      <c r="H2471" s="59"/>
    </row>
    <row r="2472" spans="3:8" x14ac:dyDescent="0.25">
      <c r="C2472" s="56"/>
      <c r="D2472" s="60"/>
      <c r="E2472" s="60"/>
      <c r="F2472" s="59"/>
      <c r="G2472" s="59"/>
      <c r="H2472" s="59"/>
    </row>
    <row r="2473" spans="3:8" x14ac:dyDescent="0.25">
      <c r="C2473" s="56"/>
      <c r="D2473" s="60"/>
      <c r="E2473" s="60"/>
      <c r="F2473" s="59"/>
      <c r="G2473" s="59"/>
      <c r="H2473" s="59"/>
    </row>
    <row r="2474" spans="3:8" x14ac:dyDescent="0.25">
      <c r="C2474" s="56"/>
      <c r="D2474" s="60"/>
      <c r="E2474" s="60"/>
      <c r="F2474" s="59"/>
      <c r="G2474" s="59"/>
      <c r="H2474" s="59"/>
    </row>
    <row r="2475" spans="3:8" x14ac:dyDescent="0.25">
      <c r="C2475" s="56"/>
      <c r="D2475" s="60"/>
      <c r="E2475" s="60"/>
      <c r="F2475" s="59"/>
      <c r="G2475" s="59"/>
      <c r="H2475" s="59"/>
    </row>
    <row r="2476" spans="3:8" x14ac:dyDescent="0.25">
      <c r="C2476" s="56"/>
      <c r="D2476" s="60"/>
      <c r="E2476" s="60"/>
      <c r="F2476" s="59"/>
      <c r="G2476" s="59"/>
      <c r="H2476" s="59"/>
    </row>
    <row r="2477" spans="3:8" x14ac:dyDescent="0.25">
      <c r="C2477" s="56"/>
      <c r="D2477" s="60"/>
      <c r="E2477" s="60"/>
      <c r="F2477" s="59"/>
      <c r="G2477" s="59"/>
      <c r="H2477" s="59"/>
    </row>
    <row r="2478" spans="3:8" x14ac:dyDescent="0.25">
      <c r="C2478" s="56"/>
      <c r="D2478" s="60"/>
      <c r="E2478" s="60"/>
      <c r="F2478" s="59"/>
      <c r="G2478" s="59"/>
      <c r="H2478" s="59"/>
    </row>
    <row r="2479" spans="3:8" x14ac:dyDescent="0.25">
      <c r="C2479" s="56"/>
      <c r="D2479" s="60"/>
      <c r="E2479" s="60"/>
      <c r="F2479" s="59"/>
      <c r="G2479" s="59"/>
      <c r="H2479" s="59"/>
    </row>
    <row r="2480" spans="3:8" x14ac:dyDescent="0.25">
      <c r="C2480" s="56"/>
      <c r="D2480" s="60"/>
      <c r="E2480" s="60"/>
      <c r="F2480" s="59"/>
      <c r="G2480" s="59"/>
      <c r="H2480" s="59"/>
    </row>
    <row r="2481" spans="3:8" x14ac:dyDescent="0.25">
      <c r="C2481" s="56"/>
      <c r="D2481" s="60"/>
      <c r="E2481" s="60"/>
      <c r="F2481" s="59"/>
      <c r="G2481" s="59"/>
      <c r="H2481" s="59"/>
    </row>
    <row r="2482" spans="3:8" x14ac:dyDescent="0.25">
      <c r="C2482" s="56"/>
      <c r="D2482" s="60"/>
      <c r="E2482" s="60"/>
      <c r="F2482" s="59"/>
      <c r="G2482" s="59"/>
      <c r="H2482" s="59"/>
    </row>
    <row r="2483" spans="3:8" x14ac:dyDescent="0.25">
      <c r="C2483" s="56"/>
      <c r="D2483" s="60"/>
      <c r="E2483" s="60"/>
      <c r="F2483" s="59"/>
      <c r="G2483" s="59"/>
      <c r="H2483" s="59"/>
    </row>
    <row r="2484" spans="3:8" x14ac:dyDescent="0.25">
      <c r="C2484" s="56"/>
      <c r="D2484" s="60"/>
      <c r="E2484" s="60"/>
      <c r="F2484" s="59"/>
      <c r="G2484" s="59"/>
      <c r="H2484" s="59"/>
    </row>
    <row r="2485" spans="3:8" x14ac:dyDescent="0.25">
      <c r="C2485" s="56"/>
      <c r="D2485" s="60"/>
      <c r="E2485" s="60"/>
      <c r="F2485" s="59"/>
      <c r="G2485" s="59"/>
      <c r="H2485" s="59"/>
    </row>
    <row r="2486" spans="3:8" x14ac:dyDescent="0.25">
      <c r="C2486" s="56"/>
      <c r="D2486" s="60"/>
      <c r="E2486" s="60"/>
      <c r="F2486" s="59"/>
      <c r="G2486" s="59"/>
      <c r="H2486" s="59"/>
    </row>
    <row r="2487" spans="3:8" x14ac:dyDescent="0.25">
      <c r="C2487" s="56"/>
      <c r="D2487" s="60"/>
      <c r="E2487" s="60"/>
      <c r="F2487" s="59"/>
      <c r="G2487" s="59"/>
      <c r="H2487" s="59"/>
    </row>
    <row r="2488" spans="3:8" x14ac:dyDescent="0.25">
      <c r="C2488" s="56"/>
      <c r="D2488" s="60"/>
      <c r="E2488" s="60"/>
      <c r="F2488" s="59"/>
      <c r="G2488" s="59"/>
      <c r="H2488" s="59"/>
    </row>
    <row r="2489" spans="3:8" x14ac:dyDescent="0.25">
      <c r="C2489" s="56"/>
      <c r="D2489" s="60"/>
      <c r="E2489" s="60"/>
      <c r="F2489" s="59"/>
      <c r="G2489" s="59"/>
      <c r="H2489" s="59"/>
    </row>
    <row r="2490" spans="3:8" x14ac:dyDescent="0.25">
      <c r="C2490" s="56"/>
      <c r="D2490" s="60"/>
      <c r="E2490" s="60"/>
      <c r="F2490" s="59"/>
      <c r="G2490" s="59"/>
      <c r="H2490" s="59"/>
    </row>
    <row r="2491" spans="3:8" x14ac:dyDescent="0.25">
      <c r="C2491" s="56"/>
      <c r="D2491" s="60"/>
      <c r="E2491" s="60"/>
      <c r="F2491" s="59"/>
      <c r="G2491" s="59"/>
      <c r="H2491" s="59"/>
    </row>
    <row r="2492" spans="3:8" x14ac:dyDescent="0.25">
      <c r="C2492" s="56"/>
      <c r="D2492" s="60"/>
      <c r="E2492" s="60"/>
      <c r="F2492" s="59"/>
      <c r="G2492" s="59"/>
      <c r="H2492" s="59"/>
    </row>
    <row r="2493" spans="3:8" x14ac:dyDescent="0.25">
      <c r="C2493" s="56"/>
      <c r="D2493" s="60"/>
      <c r="E2493" s="60"/>
      <c r="F2493" s="59"/>
      <c r="G2493" s="59"/>
      <c r="H2493" s="59"/>
    </row>
    <row r="2494" spans="3:8" x14ac:dyDescent="0.25">
      <c r="C2494" s="56"/>
      <c r="D2494" s="60"/>
      <c r="E2494" s="60"/>
      <c r="F2494" s="59"/>
      <c r="G2494" s="59"/>
      <c r="H2494" s="59"/>
    </row>
    <row r="2495" spans="3:8" x14ac:dyDescent="0.25">
      <c r="C2495" s="56"/>
      <c r="D2495" s="60"/>
      <c r="E2495" s="60"/>
      <c r="F2495" s="59"/>
      <c r="G2495" s="59"/>
      <c r="H2495" s="59"/>
    </row>
    <row r="2496" spans="3:8" x14ac:dyDescent="0.25">
      <c r="C2496" s="56"/>
      <c r="D2496" s="60"/>
      <c r="E2496" s="60"/>
      <c r="F2496" s="59"/>
      <c r="G2496" s="59"/>
      <c r="H2496" s="59"/>
    </row>
    <row r="2497" spans="3:8" x14ac:dyDescent="0.25">
      <c r="C2497" s="56"/>
      <c r="D2497" s="60"/>
      <c r="E2497" s="60"/>
      <c r="F2497" s="59"/>
      <c r="G2497" s="59"/>
      <c r="H2497" s="59"/>
    </row>
    <row r="2498" spans="3:8" x14ac:dyDescent="0.25">
      <c r="C2498" s="56"/>
      <c r="D2498" s="60"/>
      <c r="E2498" s="60"/>
      <c r="F2498" s="59"/>
      <c r="G2498" s="59"/>
      <c r="H2498" s="59"/>
    </row>
    <row r="2499" spans="3:8" x14ac:dyDescent="0.25">
      <c r="C2499" s="56"/>
      <c r="D2499" s="60"/>
      <c r="E2499" s="60"/>
      <c r="F2499" s="59"/>
      <c r="G2499" s="59"/>
      <c r="H2499" s="59"/>
    </row>
    <row r="2500" spans="3:8" x14ac:dyDescent="0.25">
      <c r="C2500" s="56"/>
      <c r="D2500" s="60"/>
      <c r="E2500" s="60"/>
      <c r="F2500" s="59"/>
      <c r="G2500" s="59"/>
      <c r="H2500" s="59"/>
    </row>
    <row r="2501" spans="3:8" x14ac:dyDescent="0.25">
      <c r="C2501" s="56"/>
      <c r="D2501" s="60"/>
      <c r="E2501" s="60"/>
      <c r="F2501" s="59"/>
      <c r="G2501" s="59"/>
      <c r="H2501" s="59"/>
    </row>
    <row r="2502" spans="3:8" x14ac:dyDescent="0.25">
      <c r="C2502" s="56"/>
      <c r="D2502" s="60"/>
      <c r="E2502" s="60"/>
      <c r="F2502" s="59"/>
      <c r="G2502" s="59"/>
      <c r="H2502" s="59"/>
    </row>
    <row r="2503" spans="3:8" x14ac:dyDescent="0.25">
      <c r="C2503" s="56"/>
      <c r="D2503" s="60"/>
      <c r="E2503" s="60"/>
      <c r="F2503" s="59"/>
      <c r="G2503" s="59"/>
      <c r="H2503" s="59"/>
    </row>
    <row r="2504" spans="3:8" x14ac:dyDescent="0.25">
      <c r="C2504" s="56"/>
      <c r="D2504" s="60"/>
      <c r="E2504" s="60"/>
      <c r="F2504" s="59"/>
      <c r="G2504" s="59"/>
      <c r="H2504" s="59"/>
    </row>
    <row r="2505" spans="3:8" x14ac:dyDescent="0.25">
      <c r="C2505" s="56"/>
      <c r="D2505" s="60"/>
      <c r="E2505" s="60"/>
      <c r="F2505" s="59"/>
      <c r="G2505" s="59"/>
      <c r="H2505" s="59"/>
    </row>
    <row r="2506" spans="3:8" x14ac:dyDescent="0.25">
      <c r="C2506" s="56"/>
      <c r="D2506" s="60"/>
      <c r="E2506" s="60"/>
      <c r="F2506" s="59"/>
      <c r="G2506" s="59"/>
      <c r="H2506" s="59"/>
    </row>
    <row r="2507" spans="3:8" x14ac:dyDescent="0.25">
      <c r="C2507" s="56"/>
      <c r="D2507" s="60"/>
      <c r="E2507" s="60"/>
      <c r="F2507" s="59"/>
      <c r="G2507" s="59"/>
      <c r="H2507" s="59"/>
    </row>
    <row r="2508" spans="3:8" x14ac:dyDescent="0.25">
      <c r="C2508" s="56"/>
      <c r="D2508" s="60"/>
      <c r="E2508" s="60"/>
      <c r="F2508" s="59"/>
      <c r="G2508" s="59"/>
      <c r="H2508" s="59"/>
    </row>
    <row r="2509" spans="3:8" x14ac:dyDescent="0.25">
      <c r="C2509" s="56"/>
      <c r="D2509" s="60"/>
      <c r="E2509" s="60"/>
      <c r="F2509" s="59"/>
      <c r="G2509" s="59"/>
      <c r="H2509" s="59"/>
    </row>
    <row r="2510" spans="3:8" x14ac:dyDescent="0.25">
      <c r="C2510" s="56"/>
      <c r="D2510" s="60"/>
      <c r="E2510" s="60"/>
      <c r="F2510" s="59"/>
      <c r="G2510" s="59"/>
      <c r="H2510" s="59"/>
    </row>
    <row r="2511" spans="3:8" x14ac:dyDescent="0.25">
      <c r="C2511" s="56"/>
      <c r="D2511" s="60"/>
      <c r="E2511" s="60"/>
      <c r="F2511" s="59"/>
      <c r="G2511" s="59"/>
      <c r="H2511" s="59"/>
    </row>
    <row r="2512" spans="3:8" x14ac:dyDescent="0.25">
      <c r="C2512" s="56"/>
      <c r="D2512" s="60"/>
      <c r="E2512" s="60"/>
      <c r="F2512" s="59"/>
      <c r="G2512" s="59"/>
      <c r="H2512" s="59"/>
    </row>
    <row r="2513" spans="3:8" x14ac:dyDescent="0.25">
      <c r="C2513" s="56"/>
      <c r="D2513" s="60"/>
      <c r="E2513" s="60"/>
      <c r="F2513" s="59"/>
      <c r="G2513" s="59"/>
      <c r="H2513" s="59"/>
    </row>
    <row r="2514" spans="3:8" x14ac:dyDescent="0.25">
      <c r="C2514" s="56"/>
      <c r="D2514" s="60"/>
      <c r="E2514" s="60"/>
      <c r="F2514" s="59"/>
      <c r="G2514" s="59"/>
      <c r="H2514" s="59"/>
    </row>
    <row r="2515" spans="3:8" x14ac:dyDescent="0.25">
      <c r="C2515" s="56"/>
      <c r="D2515" s="60"/>
      <c r="E2515" s="60"/>
      <c r="F2515" s="59"/>
      <c r="G2515" s="59"/>
      <c r="H2515" s="59"/>
    </row>
    <row r="2516" spans="3:8" x14ac:dyDescent="0.25">
      <c r="C2516" s="56"/>
      <c r="D2516" s="60"/>
      <c r="E2516" s="60"/>
      <c r="F2516" s="59"/>
      <c r="G2516" s="59"/>
      <c r="H2516" s="59"/>
    </row>
    <row r="2517" spans="3:8" x14ac:dyDescent="0.25">
      <c r="C2517" s="56"/>
      <c r="D2517" s="60"/>
      <c r="E2517" s="60"/>
      <c r="F2517" s="59"/>
      <c r="G2517" s="59"/>
      <c r="H2517" s="59"/>
    </row>
    <row r="2518" spans="3:8" x14ac:dyDescent="0.25">
      <c r="C2518" s="56"/>
      <c r="D2518" s="60"/>
      <c r="E2518" s="60"/>
      <c r="F2518" s="59"/>
      <c r="G2518" s="59"/>
      <c r="H2518" s="59"/>
    </row>
    <row r="2519" spans="3:8" x14ac:dyDescent="0.25">
      <c r="C2519" s="56"/>
      <c r="D2519" s="60"/>
      <c r="E2519" s="60"/>
      <c r="F2519" s="59"/>
      <c r="G2519" s="59"/>
      <c r="H2519" s="59"/>
    </row>
    <row r="2520" spans="3:8" x14ac:dyDescent="0.25">
      <c r="C2520" s="56"/>
      <c r="D2520" s="60"/>
      <c r="E2520" s="60"/>
      <c r="F2520" s="59"/>
      <c r="G2520" s="59"/>
      <c r="H2520" s="59"/>
    </row>
    <row r="2521" spans="3:8" x14ac:dyDescent="0.25">
      <c r="C2521" s="56"/>
      <c r="D2521" s="60"/>
      <c r="E2521" s="60"/>
      <c r="F2521" s="59"/>
      <c r="G2521" s="59"/>
      <c r="H2521" s="59"/>
    </row>
    <row r="2522" spans="3:8" x14ac:dyDescent="0.25">
      <c r="C2522" s="56"/>
      <c r="D2522" s="60"/>
      <c r="E2522" s="60"/>
      <c r="F2522" s="59"/>
      <c r="G2522" s="59"/>
      <c r="H2522" s="59"/>
    </row>
    <row r="2523" spans="3:8" x14ac:dyDescent="0.25">
      <c r="C2523" s="56"/>
      <c r="D2523" s="60"/>
      <c r="E2523" s="60"/>
      <c r="F2523" s="59"/>
      <c r="G2523" s="59"/>
      <c r="H2523" s="59"/>
    </row>
    <row r="2524" spans="3:8" x14ac:dyDescent="0.25">
      <c r="C2524" s="56"/>
      <c r="D2524" s="60"/>
      <c r="E2524" s="60"/>
      <c r="F2524" s="59"/>
      <c r="G2524" s="59"/>
      <c r="H2524" s="59"/>
    </row>
    <row r="2525" spans="3:8" x14ac:dyDescent="0.25">
      <c r="C2525" s="56"/>
      <c r="D2525" s="60"/>
      <c r="E2525" s="60"/>
      <c r="F2525" s="59"/>
      <c r="G2525" s="59"/>
      <c r="H2525" s="59"/>
    </row>
    <row r="2526" spans="3:8" x14ac:dyDescent="0.25">
      <c r="C2526" s="56"/>
      <c r="D2526" s="60"/>
      <c r="E2526" s="60"/>
      <c r="F2526" s="59"/>
      <c r="G2526" s="59"/>
      <c r="H2526" s="59"/>
    </row>
    <row r="2527" spans="3:8" x14ac:dyDescent="0.25">
      <c r="C2527" s="56"/>
      <c r="D2527" s="60"/>
      <c r="E2527" s="60"/>
      <c r="F2527" s="59"/>
      <c r="G2527" s="59"/>
      <c r="H2527" s="59"/>
    </row>
    <row r="2528" spans="3:8" x14ac:dyDescent="0.25">
      <c r="C2528" s="56"/>
      <c r="D2528" s="60"/>
      <c r="E2528" s="60"/>
      <c r="F2528" s="59"/>
      <c r="G2528" s="59"/>
      <c r="H2528" s="59"/>
    </row>
    <row r="2529" spans="3:8" x14ac:dyDescent="0.25">
      <c r="C2529" s="56"/>
      <c r="D2529" s="60"/>
      <c r="E2529" s="60"/>
      <c r="F2529" s="59"/>
      <c r="G2529" s="59"/>
      <c r="H2529" s="59"/>
    </row>
    <row r="2530" spans="3:8" x14ac:dyDescent="0.25">
      <c r="C2530" s="56"/>
      <c r="D2530" s="60"/>
      <c r="E2530" s="60"/>
      <c r="F2530" s="59"/>
      <c r="G2530" s="59"/>
      <c r="H2530" s="59"/>
    </row>
    <row r="2531" spans="3:8" x14ac:dyDescent="0.25">
      <c r="C2531" s="56"/>
      <c r="D2531" s="60"/>
      <c r="E2531" s="60"/>
      <c r="F2531" s="59"/>
      <c r="G2531" s="59"/>
      <c r="H2531" s="59"/>
    </row>
    <row r="2532" spans="3:8" x14ac:dyDescent="0.25">
      <c r="C2532" s="56"/>
      <c r="D2532" s="60"/>
      <c r="E2532" s="60"/>
      <c r="F2532" s="59"/>
      <c r="G2532" s="59"/>
      <c r="H2532" s="59"/>
    </row>
    <row r="2533" spans="3:8" x14ac:dyDescent="0.25">
      <c r="C2533" s="56"/>
      <c r="D2533" s="60"/>
      <c r="E2533" s="60"/>
      <c r="F2533" s="59"/>
      <c r="G2533" s="59"/>
      <c r="H2533" s="59"/>
    </row>
    <row r="2534" spans="3:8" x14ac:dyDescent="0.25">
      <c r="C2534" s="56"/>
      <c r="D2534" s="60"/>
      <c r="E2534" s="60"/>
      <c r="F2534" s="59"/>
      <c r="G2534" s="59"/>
      <c r="H2534" s="59"/>
    </row>
    <row r="2535" spans="3:8" x14ac:dyDescent="0.25">
      <c r="C2535" s="56"/>
      <c r="D2535" s="60"/>
      <c r="E2535" s="60"/>
      <c r="F2535" s="59"/>
      <c r="G2535" s="59"/>
      <c r="H2535" s="59"/>
    </row>
    <row r="2536" spans="3:8" x14ac:dyDescent="0.25">
      <c r="C2536" s="56"/>
      <c r="D2536" s="60"/>
      <c r="E2536" s="60"/>
      <c r="F2536" s="59"/>
      <c r="G2536" s="59"/>
      <c r="H2536" s="59"/>
    </row>
    <row r="2537" spans="3:8" x14ac:dyDescent="0.25">
      <c r="C2537" s="56"/>
      <c r="D2537" s="60"/>
      <c r="E2537" s="60"/>
      <c r="F2537" s="59"/>
      <c r="G2537" s="59"/>
      <c r="H2537" s="59"/>
    </row>
    <row r="2538" spans="3:8" x14ac:dyDescent="0.25">
      <c r="C2538" s="56"/>
      <c r="D2538" s="60"/>
      <c r="E2538" s="60"/>
      <c r="F2538" s="59"/>
      <c r="G2538" s="59"/>
      <c r="H2538" s="59"/>
    </row>
    <row r="2539" spans="3:8" x14ac:dyDescent="0.25">
      <c r="C2539" s="56"/>
      <c r="D2539" s="60"/>
      <c r="E2539" s="60"/>
      <c r="F2539" s="59"/>
      <c r="G2539" s="59"/>
      <c r="H2539" s="59"/>
    </row>
    <row r="2540" spans="3:8" x14ac:dyDescent="0.25">
      <c r="C2540" s="56"/>
      <c r="D2540" s="60"/>
      <c r="E2540" s="60"/>
      <c r="F2540" s="59"/>
      <c r="G2540" s="59"/>
      <c r="H2540" s="59"/>
    </row>
    <row r="2541" spans="3:8" x14ac:dyDescent="0.25">
      <c r="C2541" s="56"/>
      <c r="D2541" s="60"/>
      <c r="E2541" s="60"/>
      <c r="F2541" s="59"/>
      <c r="G2541" s="59"/>
      <c r="H2541" s="59"/>
    </row>
    <row r="2542" spans="3:8" x14ac:dyDescent="0.25">
      <c r="C2542" s="56"/>
      <c r="D2542" s="60"/>
      <c r="E2542" s="60"/>
      <c r="F2542" s="59"/>
      <c r="G2542" s="59"/>
      <c r="H2542" s="59"/>
    </row>
    <row r="2543" spans="3:8" x14ac:dyDescent="0.25">
      <c r="C2543" s="56"/>
      <c r="D2543" s="60"/>
      <c r="E2543" s="60"/>
      <c r="F2543" s="59"/>
      <c r="G2543" s="59"/>
      <c r="H2543" s="59"/>
    </row>
    <row r="2544" spans="3:8" x14ac:dyDescent="0.25">
      <c r="C2544" s="56"/>
      <c r="D2544" s="60"/>
      <c r="E2544" s="60"/>
      <c r="F2544" s="59"/>
      <c r="G2544" s="59"/>
      <c r="H2544" s="59"/>
    </row>
    <row r="2545" spans="3:8" x14ac:dyDescent="0.25">
      <c r="C2545" s="56"/>
      <c r="D2545" s="60"/>
      <c r="E2545" s="60"/>
      <c r="F2545" s="59"/>
      <c r="G2545" s="59"/>
      <c r="H2545" s="59"/>
    </row>
    <row r="2546" spans="3:8" x14ac:dyDescent="0.25">
      <c r="C2546" s="56"/>
      <c r="D2546" s="60"/>
      <c r="E2546" s="60"/>
      <c r="F2546" s="59"/>
      <c r="G2546" s="59"/>
      <c r="H2546" s="59"/>
    </row>
    <row r="2547" spans="3:8" x14ac:dyDescent="0.25">
      <c r="C2547" s="56"/>
      <c r="D2547" s="60"/>
      <c r="E2547" s="60"/>
      <c r="F2547" s="59"/>
      <c r="G2547" s="59"/>
      <c r="H2547" s="59"/>
    </row>
    <row r="2548" spans="3:8" x14ac:dyDescent="0.25">
      <c r="C2548" s="56"/>
      <c r="D2548" s="60"/>
      <c r="E2548" s="60"/>
      <c r="F2548" s="59"/>
      <c r="G2548" s="59"/>
      <c r="H2548" s="59"/>
    </row>
    <row r="2549" spans="3:8" x14ac:dyDescent="0.25">
      <c r="C2549" s="56"/>
      <c r="D2549" s="60"/>
      <c r="E2549" s="60"/>
      <c r="F2549" s="59"/>
      <c r="G2549" s="59"/>
      <c r="H2549" s="59"/>
    </row>
    <row r="2550" spans="3:8" x14ac:dyDescent="0.25">
      <c r="C2550" s="56"/>
      <c r="D2550" s="60"/>
      <c r="E2550" s="60"/>
      <c r="F2550" s="59"/>
      <c r="G2550" s="59"/>
      <c r="H2550" s="59"/>
    </row>
    <row r="2551" spans="3:8" x14ac:dyDescent="0.25">
      <c r="C2551" s="56"/>
      <c r="D2551" s="60"/>
      <c r="E2551" s="60"/>
      <c r="F2551" s="59"/>
      <c r="G2551" s="59"/>
      <c r="H2551" s="59"/>
    </row>
    <row r="2552" spans="3:8" x14ac:dyDescent="0.25">
      <c r="C2552" s="56"/>
      <c r="D2552" s="60"/>
      <c r="E2552" s="60"/>
      <c r="F2552" s="59"/>
      <c r="G2552" s="59"/>
      <c r="H2552" s="59"/>
    </row>
    <row r="2553" spans="3:8" x14ac:dyDescent="0.25">
      <c r="C2553" s="56"/>
      <c r="D2553" s="60"/>
      <c r="E2553" s="60"/>
      <c r="F2553" s="59"/>
      <c r="G2553" s="59"/>
      <c r="H2553" s="59"/>
    </row>
    <row r="2554" spans="3:8" x14ac:dyDescent="0.25">
      <c r="C2554" s="56"/>
      <c r="D2554" s="60"/>
      <c r="E2554" s="60"/>
      <c r="F2554" s="59"/>
      <c r="G2554" s="59"/>
      <c r="H2554" s="59"/>
    </row>
    <row r="2555" spans="3:8" x14ac:dyDescent="0.25">
      <c r="C2555" s="56"/>
      <c r="D2555" s="60"/>
      <c r="E2555" s="60"/>
      <c r="F2555" s="59"/>
      <c r="G2555" s="59"/>
      <c r="H2555" s="59"/>
    </row>
    <row r="2556" spans="3:8" x14ac:dyDescent="0.25">
      <c r="C2556" s="56"/>
      <c r="D2556" s="60"/>
      <c r="E2556" s="60"/>
      <c r="F2556" s="59"/>
      <c r="G2556" s="59"/>
      <c r="H2556" s="59"/>
    </row>
    <row r="2557" spans="3:8" x14ac:dyDescent="0.25">
      <c r="C2557" s="56"/>
      <c r="D2557" s="60"/>
      <c r="E2557" s="60"/>
      <c r="F2557" s="59"/>
      <c r="G2557" s="59"/>
      <c r="H2557" s="59"/>
    </row>
    <row r="2558" spans="3:8" x14ac:dyDescent="0.25">
      <c r="C2558" s="56"/>
      <c r="D2558" s="60"/>
      <c r="E2558" s="60"/>
      <c r="F2558" s="59"/>
      <c r="G2558" s="59"/>
      <c r="H2558" s="59"/>
    </row>
    <row r="2559" spans="3:8" x14ac:dyDescent="0.25">
      <c r="C2559" s="56"/>
      <c r="D2559" s="60"/>
      <c r="E2559" s="60"/>
      <c r="F2559" s="59"/>
      <c r="G2559" s="59"/>
      <c r="H2559" s="59"/>
    </row>
    <row r="2560" spans="3:8" x14ac:dyDescent="0.25">
      <c r="C2560" s="56"/>
      <c r="D2560" s="60"/>
      <c r="E2560" s="60"/>
      <c r="F2560" s="59"/>
      <c r="G2560" s="59"/>
      <c r="H2560" s="59"/>
    </row>
    <row r="2561" spans="3:8" x14ac:dyDescent="0.25">
      <c r="C2561" s="56"/>
      <c r="D2561" s="60"/>
      <c r="E2561" s="60"/>
      <c r="F2561" s="59"/>
      <c r="G2561" s="59"/>
      <c r="H2561" s="59"/>
    </row>
    <row r="2562" spans="3:8" x14ac:dyDescent="0.25">
      <c r="C2562" s="56"/>
      <c r="D2562" s="60"/>
      <c r="E2562" s="60"/>
      <c r="F2562" s="59"/>
      <c r="G2562" s="59"/>
      <c r="H2562" s="59"/>
    </row>
    <row r="2563" spans="3:8" x14ac:dyDescent="0.25">
      <c r="C2563" s="56"/>
      <c r="D2563" s="60"/>
      <c r="E2563" s="60"/>
      <c r="F2563" s="59"/>
      <c r="G2563" s="59"/>
      <c r="H2563" s="59"/>
    </row>
    <row r="2564" spans="3:8" x14ac:dyDescent="0.25">
      <c r="C2564" s="56"/>
      <c r="D2564" s="60"/>
      <c r="E2564" s="60"/>
      <c r="F2564" s="59"/>
      <c r="G2564" s="59"/>
      <c r="H2564" s="59"/>
    </row>
    <row r="2565" spans="3:8" x14ac:dyDescent="0.25">
      <c r="C2565" s="56"/>
      <c r="D2565" s="60"/>
      <c r="E2565" s="60"/>
      <c r="F2565" s="59"/>
      <c r="G2565" s="59"/>
      <c r="H2565" s="59"/>
    </row>
    <row r="2566" spans="3:8" x14ac:dyDescent="0.25">
      <c r="C2566" s="56"/>
      <c r="D2566" s="60"/>
      <c r="E2566" s="60"/>
      <c r="F2566" s="59"/>
      <c r="G2566" s="59"/>
      <c r="H2566" s="59"/>
    </row>
    <row r="2567" spans="3:8" x14ac:dyDescent="0.25">
      <c r="C2567" s="56"/>
      <c r="D2567" s="60"/>
      <c r="E2567" s="60"/>
      <c r="F2567" s="59"/>
      <c r="G2567" s="59"/>
      <c r="H2567" s="59"/>
    </row>
    <row r="2568" spans="3:8" x14ac:dyDescent="0.25">
      <c r="C2568" s="56"/>
      <c r="D2568" s="60"/>
      <c r="E2568" s="60"/>
      <c r="F2568" s="59"/>
      <c r="G2568" s="59"/>
      <c r="H2568" s="59"/>
    </row>
    <row r="2569" spans="3:8" x14ac:dyDescent="0.25">
      <c r="C2569" s="56"/>
      <c r="D2569" s="60"/>
      <c r="E2569" s="60"/>
      <c r="F2569" s="59"/>
      <c r="G2569" s="59"/>
      <c r="H2569" s="59"/>
    </row>
    <row r="2570" spans="3:8" x14ac:dyDescent="0.25">
      <c r="C2570" s="56"/>
      <c r="D2570" s="60"/>
      <c r="E2570" s="60"/>
      <c r="F2570" s="59"/>
      <c r="G2570" s="59"/>
      <c r="H2570" s="59"/>
    </row>
    <row r="2571" spans="3:8" x14ac:dyDescent="0.25">
      <c r="C2571" s="56"/>
      <c r="D2571" s="60"/>
      <c r="E2571" s="60"/>
      <c r="F2571" s="59"/>
      <c r="G2571" s="59"/>
      <c r="H2571" s="59"/>
    </row>
    <row r="2572" spans="3:8" x14ac:dyDescent="0.25">
      <c r="C2572" s="56"/>
      <c r="D2572" s="60"/>
      <c r="E2572" s="60"/>
      <c r="F2572" s="59"/>
      <c r="G2572" s="59"/>
      <c r="H2572" s="59"/>
    </row>
    <row r="2573" spans="3:8" x14ac:dyDescent="0.25">
      <c r="C2573" s="56"/>
      <c r="D2573" s="60"/>
      <c r="E2573" s="60"/>
      <c r="F2573" s="59"/>
      <c r="G2573" s="59"/>
      <c r="H2573" s="59"/>
    </row>
    <row r="2574" spans="3:8" x14ac:dyDescent="0.25">
      <c r="C2574" s="56"/>
      <c r="D2574" s="60"/>
      <c r="E2574" s="60"/>
      <c r="F2574" s="59"/>
      <c r="G2574" s="59"/>
      <c r="H2574" s="59"/>
    </row>
    <row r="2575" spans="3:8" x14ac:dyDescent="0.25">
      <c r="C2575" s="56"/>
      <c r="D2575" s="60"/>
      <c r="E2575" s="60"/>
      <c r="F2575" s="59"/>
      <c r="G2575" s="59"/>
      <c r="H2575" s="59"/>
    </row>
    <row r="2576" spans="3:8" x14ac:dyDescent="0.25">
      <c r="C2576" s="56"/>
      <c r="D2576" s="60"/>
      <c r="E2576" s="60"/>
      <c r="F2576" s="59"/>
      <c r="G2576" s="59"/>
      <c r="H2576" s="59"/>
    </row>
    <row r="2577" spans="3:8" x14ac:dyDescent="0.25">
      <c r="C2577" s="56"/>
      <c r="D2577" s="60"/>
      <c r="E2577" s="60"/>
      <c r="F2577" s="59"/>
      <c r="G2577" s="59"/>
      <c r="H2577" s="59"/>
    </row>
    <row r="2578" spans="3:8" x14ac:dyDescent="0.25">
      <c r="C2578" s="56"/>
      <c r="D2578" s="60"/>
      <c r="E2578" s="60"/>
      <c r="F2578" s="59"/>
      <c r="G2578" s="59"/>
      <c r="H2578" s="59"/>
    </row>
    <row r="2579" spans="3:8" x14ac:dyDescent="0.25">
      <c r="C2579" s="56"/>
      <c r="D2579" s="60"/>
      <c r="E2579" s="60"/>
      <c r="F2579" s="59"/>
      <c r="G2579" s="59"/>
      <c r="H2579" s="59"/>
    </row>
    <row r="2580" spans="3:8" x14ac:dyDescent="0.25">
      <c r="C2580" s="56"/>
      <c r="D2580" s="60"/>
      <c r="E2580" s="60"/>
      <c r="F2580" s="59"/>
      <c r="G2580" s="59"/>
      <c r="H2580" s="59"/>
    </row>
    <row r="2581" spans="3:8" x14ac:dyDescent="0.25">
      <c r="C2581" s="56"/>
      <c r="D2581" s="60"/>
      <c r="E2581" s="60"/>
      <c r="F2581" s="59"/>
      <c r="G2581" s="59"/>
      <c r="H2581" s="59"/>
    </row>
    <row r="2582" spans="3:8" x14ac:dyDescent="0.25">
      <c r="C2582" s="56"/>
      <c r="D2582" s="60"/>
      <c r="E2582" s="60"/>
      <c r="F2582" s="59"/>
      <c r="G2582" s="59"/>
      <c r="H2582" s="59"/>
    </row>
    <row r="2583" spans="3:8" x14ac:dyDescent="0.25">
      <c r="C2583" s="56"/>
      <c r="D2583" s="60"/>
      <c r="E2583" s="60"/>
      <c r="F2583" s="59"/>
      <c r="G2583" s="59"/>
      <c r="H2583" s="59"/>
    </row>
    <row r="2584" spans="3:8" x14ac:dyDescent="0.25">
      <c r="C2584" s="56"/>
      <c r="D2584" s="60"/>
      <c r="E2584" s="60"/>
      <c r="F2584" s="59"/>
      <c r="G2584" s="59"/>
      <c r="H2584" s="59"/>
    </row>
    <row r="2585" spans="3:8" x14ac:dyDescent="0.25">
      <c r="C2585" s="56"/>
      <c r="D2585" s="60"/>
      <c r="E2585" s="60"/>
      <c r="F2585" s="59"/>
      <c r="G2585" s="59"/>
      <c r="H2585" s="59"/>
    </row>
    <row r="2586" spans="3:8" x14ac:dyDescent="0.25">
      <c r="C2586" s="56"/>
      <c r="D2586" s="60"/>
      <c r="E2586" s="60"/>
      <c r="F2586" s="59"/>
      <c r="G2586" s="59"/>
      <c r="H2586" s="59"/>
    </row>
    <row r="2587" spans="3:8" x14ac:dyDescent="0.25">
      <c r="C2587" s="56"/>
      <c r="D2587" s="60"/>
      <c r="E2587" s="60"/>
      <c r="F2587" s="59"/>
      <c r="G2587" s="59"/>
      <c r="H2587" s="59"/>
    </row>
    <row r="2588" spans="3:8" x14ac:dyDescent="0.25">
      <c r="C2588" s="56"/>
      <c r="D2588" s="60"/>
      <c r="E2588" s="60"/>
      <c r="F2588" s="59"/>
      <c r="G2588" s="59"/>
      <c r="H2588" s="59"/>
    </row>
    <row r="2589" spans="3:8" x14ac:dyDescent="0.25">
      <c r="C2589" s="56"/>
      <c r="D2589" s="60"/>
      <c r="E2589" s="60"/>
      <c r="F2589" s="59"/>
      <c r="G2589" s="59"/>
      <c r="H2589" s="59"/>
    </row>
    <row r="2590" spans="3:8" x14ac:dyDescent="0.25">
      <c r="C2590" s="56"/>
      <c r="D2590" s="60"/>
      <c r="E2590" s="60"/>
      <c r="F2590" s="59"/>
      <c r="G2590" s="59"/>
      <c r="H2590" s="59"/>
    </row>
    <row r="2591" spans="3:8" x14ac:dyDescent="0.25">
      <c r="C2591" s="56"/>
      <c r="D2591" s="60"/>
      <c r="E2591" s="60"/>
      <c r="F2591" s="59"/>
      <c r="G2591" s="59"/>
      <c r="H2591" s="59"/>
    </row>
    <row r="2592" spans="3:8" x14ac:dyDescent="0.25">
      <c r="C2592" s="56"/>
      <c r="D2592" s="60"/>
      <c r="E2592" s="60"/>
      <c r="F2592" s="59"/>
      <c r="G2592" s="59"/>
      <c r="H2592" s="59"/>
    </row>
    <row r="2593" spans="3:8" x14ac:dyDescent="0.25">
      <c r="C2593" s="56"/>
      <c r="D2593" s="60"/>
      <c r="E2593" s="60"/>
      <c r="F2593" s="59"/>
      <c r="G2593" s="59"/>
      <c r="H2593" s="59"/>
    </row>
    <row r="2594" spans="3:8" x14ac:dyDescent="0.25">
      <c r="C2594" s="56"/>
      <c r="D2594" s="60"/>
      <c r="E2594" s="60"/>
      <c r="F2594" s="59"/>
      <c r="G2594" s="59"/>
      <c r="H2594" s="59"/>
    </row>
    <row r="2595" spans="3:8" x14ac:dyDescent="0.25">
      <c r="C2595" s="56"/>
      <c r="D2595" s="60"/>
      <c r="E2595" s="60"/>
      <c r="F2595" s="59"/>
      <c r="G2595" s="59"/>
      <c r="H2595" s="59"/>
    </row>
    <row r="2596" spans="3:8" x14ac:dyDescent="0.25">
      <c r="C2596" s="56"/>
      <c r="D2596" s="60"/>
      <c r="E2596" s="60"/>
      <c r="F2596" s="59"/>
      <c r="G2596" s="59"/>
      <c r="H2596" s="59"/>
    </row>
    <row r="2597" spans="3:8" x14ac:dyDescent="0.25">
      <c r="C2597" s="56"/>
      <c r="D2597" s="60"/>
      <c r="E2597" s="60"/>
      <c r="F2597" s="59"/>
      <c r="G2597" s="59"/>
      <c r="H2597" s="59"/>
    </row>
    <row r="2598" spans="3:8" x14ac:dyDescent="0.25">
      <c r="C2598" s="56"/>
      <c r="D2598" s="60"/>
      <c r="E2598" s="60"/>
      <c r="F2598" s="59"/>
      <c r="G2598" s="59"/>
      <c r="H2598" s="59"/>
    </row>
    <row r="2599" spans="3:8" x14ac:dyDescent="0.25">
      <c r="C2599" s="56"/>
      <c r="D2599" s="60"/>
      <c r="E2599" s="60"/>
      <c r="F2599" s="59"/>
      <c r="G2599" s="59"/>
      <c r="H2599" s="59"/>
    </row>
    <row r="2600" spans="3:8" x14ac:dyDescent="0.25">
      <c r="C2600" s="56"/>
      <c r="D2600" s="60"/>
      <c r="E2600" s="60"/>
      <c r="F2600" s="59"/>
      <c r="G2600" s="59"/>
      <c r="H2600" s="59"/>
    </row>
    <row r="2601" spans="3:8" x14ac:dyDescent="0.25">
      <c r="C2601" s="56"/>
      <c r="D2601" s="60"/>
      <c r="E2601" s="60"/>
      <c r="F2601" s="59"/>
      <c r="G2601" s="59"/>
      <c r="H2601" s="59"/>
    </row>
    <row r="2602" spans="3:8" x14ac:dyDescent="0.25">
      <c r="C2602" s="56"/>
      <c r="D2602" s="60"/>
      <c r="E2602" s="60"/>
      <c r="F2602" s="59"/>
      <c r="G2602" s="59"/>
      <c r="H2602" s="59"/>
    </row>
    <row r="2603" spans="3:8" x14ac:dyDescent="0.25">
      <c r="C2603" s="56"/>
      <c r="D2603" s="60"/>
      <c r="E2603" s="60"/>
      <c r="F2603" s="59"/>
      <c r="G2603" s="59"/>
      <c r="H2603" s="59"/>
    </row>
    <row r="2604" spans="3:8" x14ac:dyDescent="0.25">
      <c r="C2604" s="56"/>
      <c r="D2604" s="60"/>
      <c r="E2604" s="60"/>
      <c r="F2604" s="59"/>
      <c r="G2604" s="59"/>
      <c r="H2604" s="59"/>
    </row>
    <row r="2605" spans="3:8" x14ac:dyDescent="0.25">
      <c r="C2605" s="56"/>
      <c r="D2605" s="60"/>
      <c r="E2605" s="60"/>
      <c r="F2605" s="59"/>
      <c r="G2605" s="59"/>
      <c r="H2605" s="59"/>
    </row>
    <row r="2606" spans="3:8" x14ac:dyDescent="0.25">
      <c r="C2606" s="56"/>
      <c r="D2606" s="60"/>
      <c r="E2606" s="60"/>
      <c r="F2606" s="59"/>
      <c r="G2606" s="59"/>
      <c r="H2606" s="59"/>
    </row>
    <row r="2607" spans="3:8" x14ac:dyDescent="0.25">
      <c r="C2607" s="56"/>
      <c r="D2607" s="60"/>
      <c r="E2607" s="60"/>
      <c r="F2607" s="59"/>
      <c r="G2607" s="59"/>
      <c r="H2607" s="59"/>
    </row>
    <row r="2608" spans="3:8" x14ac:dyDescent="0.25">
      <c r="C2608" s="56"/>
      <c r="D2608" s="60"/>
      <c r="E2608" s="60"/>
      <c r="F2608" s="59"/>
      <c r="G2608" s="59"/>
      <c r="H2608" s="59"/>
    </row>
    <row r="2609" spans="3:8" x14ac:dyDescent="0.25">
      <c r="C2609" s="56"/>
      <c r="D2609" s="60"/>
      <c r="E2609" s="60"/>
      <c r="F2609" s="59"/>
      <c r="G2609" s="59"/>
      <c r="H2609" s="59"/>
    </row>
    <row r="2610" spans="3:8" x14ac:dyDescent="0.25">
      <c r="C2610" s="56"/>
      <c r="D2610" s="60"/>
      <c r="E2610" s="60"/>
      <c r="F2610" s="59"/>
      <c r="G2610" s="59"/>
      <c r="H2610" s="59"/>
    </row>
    <row r="2611" spans="3:8" x14ac:dyDescent="0.25">
      <c r="C2611" s="56"/>
      <c r="D2611" s="60"/>
      <c r="E2611" s="60"/>
      <c r="F2611" s="59"/>
      <c r="G2611" s="59"/>
      <c r="H2611" s="59"/>
    </row>
    <row r="2612" spans="3:8" x14ac:dyDescent="0.25">
      <c r="C2612" s="56"/>
      <c r="D2612" s="60"/>
      <c r="E2612" s="60"/>
      <c r="F2612" s="59"/>
      <c r="G2612" s="59"/>
      <c r="H2612" s="59"/>
    </row>
    <row r="2613" spans="3:8" x14ac:dyDescent="0.25">
      <c r="C2613" s="56"/>
      <c r="D2613" s="60"/>
      <c r="E2613" s="60"/>
      <c r="F2613" s="59"/>
      <c r="G2613" s="59"/>
      <c r="H2613" s="59"/>
    </row>
    <row r="2614" spans="3:8" x14ac:dyDescent="0.25">
      <c r="C2614" s="56"/>
      <c r="D2614" s="60"/>
      <c r="E2614" s="60"/>
      <c r="F2614" s="59"/>
      <c r="G2614" s="59"/>
      <c r="H2614" s="59"/>
    </row>
    <row r="2615" spans="3:8" x14ac:dyDescent="0.25">
      <c r="C2615" s="56"/>
      <c r="D2615" s="60"/>
      <c r="E2615" s="60"/>
      <c r="F2615" s="59"/>
      <c r="G2615" s="59"/>
      <c r="H2615" s="59"/>
    </row>
    <row r="2616" spans="3:8" x14ac:dyDescent="0.25">
      <c r="C2616" s="56"/>
      <c r="D2616" s="60"/>
      <c r="E2616" s="60"/>
      <c r="F2616" s="59"/>
      <c r="G2616" s="59"/>
      <c r="H2616" s="59"/>
    </row>
    <row r="2617" spans="3:8" x14ac:dyDescent="0.25">
      <c r="C2617" s="56"/>
      <c r="D2617" s="60"/>
      <c r="E2617" s="60"/>
      <c r="F2617" s="59"/>
      <c r="G2617" s="59"/>
      <c r="H2617" s="59"/>
    </row>
    <row r="2618" spans="3:8" x14ac:dyDescent="0.25">
      <c r="C2618" s="56"/>
      <c r="D2618" s="60"/>
      <c r="E2618" s="60"/>
      <c r="F2618" s="59"/>
      <c r="G2618" s="59"/>
      <c r="H2618" s="59"/>
    </row>
    <row r="2619" spans="3:8" x14ac:dyDescent="0.25">
      <c r="C2619" s="56"/>
      <c r="D2619" s="60"/>
      <c r="E2619" s="60"/>
      <c r="F2619" s="59"/>
      <c r="G2619" s="59"/>
      <c r="H2619" s="59"/>
    </row>
    <row r="2620" spans="3:8" x14ac:dyDescent="0.25">
      <c r="C2620" s="56"/>
      <c r="D2620" s="60"/>
      <c r="E2620" s="60"/>
      <c r="F2620" s="59"/>
      <c r="G2620" s="59"/>
      <c r="H2620" s="59"/>
    </row>
    <row r="2621" spans="3:8" x14ac:dyDescent="0.25">
      <c r="C2621" s="56"/>
      <c r="D2621" s="60"/>
      <c r="E2621" s="60"/>
      <c r="F2621" s="59"/>
      <c r="G2621" s="59"/>
      <c r="H2621" s="59"/>
    </row>
    <row r="2622" spans="3:8" x14ac:dyDescent="0.25">
      <c r="C2622" s="56"/>
      <c r="D2622" s="60"/>
      <c r="E2622" s="60"/>
      <c r="F2622" s="59"/>
      <c r="G2622" s="59"/>
      <c r="H2622" s="59"/>
    </row>
    <row r="2623" spans="3:8" x14ac:dyDescent="0.25">
      <c r="C2623" s="56"/>
      <c r="D2623" s="60"/>
      <c r="E2623" s="60"/>
      <c r="F2623" s="59"/>
      <c r="G2623" s="59"/>
      <c r="H2623" s="59"/>
    </row>
    <row r="2624" spans="3:8" x14ac:dyDescent="0.25">
      <c r="C2624" s="56"/>
      <c r="D2624" s="60"/>
      <c r="E2624" s="60"/>
      <c r="F2624" s="59"/>
      <c r="G2624" s="59"/>
      <c r="H2624" s="59"/>
    </row>
    <row r="2625" spans="3:8" x14ac:dyDescent="0.25">
      <c r="C2625" s="56"/>
      <c r="D2625" s="60"/>
      <c r="E2625" s="60"/>
      <c r="F2625" s="59"/>
      <c r="G2625" s="59"/>
      <c r="H2625" s="59"/>
    </row>
    <row r="2626" spans="3:8" x14ac:dyDescent="0.25">
      <c r="C2626" s="56"/>
      <c r="D2626" s="60"/>
      <c r="E2626" s="60"/>
      <c r="F2626" s="59"/>
      <c r="G2626" s="59"/>
      <c r="H2626" s="59"/>
    </row>
    <row r="2627" spans="3:8" x14ac:dyDescent="0.25">
      <c r="C2627" s="56"/>
      <c r="D2627" s="60"/>
      <c r="E2627" s="60"/>
      <c r="F2627" s="59"/>
      <c r="G2627" s="59"/>
      <c r="H2627" s="59"/>
    </row>
    <row r="2628" spans="3:8" x14ac:dyDescent="0.25">
      <c r="C2628" s="56"/>
      <c r="D2628" s="60"/>
      <c r="E2628" s="60"/>
      <c r="F2628" s="59"/>
      <c r="G2628" s="59"/>
      <c r="H2628" s="59"/>
    </row>
    <row r="2629" spans="3:8" x14ac:dyDescent="0.25">
      <c r="C2629" s="56"/>
      <c r="D2629" s="60"/>
      <c r="E2629" s="60"/>
      <c r="F2629" s="59"/>
      <c r="G2629" s="59"/>
      <c r="H2629" s="59"/>
    </row>
    <row r="2630" spans="3:8" x14ac:dyDescent="0.25">
      <c r="C2630" s="56"/>
      <c r="D2630" s="60"/>
      <c r="E2630" s="60"/>
      <c r="F2630" s="59"/>
      <c r="G2630" s="59"/>
      <c r="H2630" s="59"/>
    </row>
    <row r="2631" spans="3:8" x14ac:dyDescent="0.25">
      <c r="C2631" s="56"/>
      <c r="D2631" s="60"/>
      <c r="E2631" s="60"/>
      <c r="F2631" s="59"/>
      <c r="G2631" s="59"/>
      <c r="H2631" s="59"/>
    </row>
    <row r="2632" spans="3:8" x14ac:dyDescent="0.25">
      <c r="C2632" s="56"/>
      <c r="D2632" s="60"/>
      <c r="E2632" s="60"/>
      <c r="F2632" s="59"/>
      <c r="G2632" s="59"/>
      <c r="H2632" s="59"/>
    </row>
    <row r="2633" spans="3:8" x14ac:dyDescent="0.25">
      <c r="C2633" s="56"/>
      <c r="D2633" s="60"/>
      <c r="E2633" s="60"/>
      <c r="F2633" s="59"/>
      <c r="G2633" s="59"/>
      <c r="H2633" s="59"/>
    </row>
    <row r="2634" spans="3:8" x14ac:dyDescent="0.25">
      <c r="C2634" s="56"/>
      <c r="D2634" s="60"/>
      <c r="E2634" s="60"/>
      <c r="F2634" s="59"/>
      <c r="G2634" s="59"/>
      <c r="H2634" s="59"/>
    </row>
    <row r="2635" spans="3:8" x14ac:dyDescent="0.25">
      <c r="C2635" s="56"/>
      <c r="D2635" s="60"/>
      <c r="E2635" s="60"/>
      <c r="F2635" s="59"/>
      <c r="G2635" s="59"/>
      <c r="H2635" s="59"/>
    </row>
    <row r="2636" spans="3:8" x14ac:dyDescent="0.25">
      <c r="C2636" s="56"/>
      <c r="D2636" s="60"/>
      <c r="E2636" s="60"/>
      <c r="F2636" s="59"/>
      <c r="G2636" s="59"/>
      <c r="H2636" s="59"/>
    </row>
    <row r="2637" spans="3:8" x14ac:dyDescent="0.25">
      <c r="C2637" s="56"/>
      <c r="D2637" s="60"/>
      <c r="E2637" s="60"/>
      <c r="F2637" s="59"/>
      <c r="G2637" s="59"/>
      <c r="H2637" s="59"/>
    </row>
    <row r="2638" spans="3:8" x14ac:dyDescent="0.25">
      <c r="C2638" s="56"/>
      <c r="D2638" s="60"/>
      <c r="E2638" s="60"/>
      <c r="F2638" s="59"/>
      <c r="G2638" s="59"/>
      <c r="H2638" s="59"/>
    </row>
    <row r="2639" spans="3:8" x14ac:dyDescent="0.25">
      <c r="C2639" s="56"/>
      <c r="D2639" s="60"/>
      <c r="E2639" s="60"/>
      <c r="F2639" s="59"/>
      <c r="G2639" s="59"/>
      <c r="H2639" s="59"/>
    </row>
    <row r="2640" spans="3:8" x14ac:dyDescent="0.25">
      <c r="C2640" s="56"/>
      <c r="D2640" s="60"/>
      <c r="E2640" s="60"/>
      <c r="F2640" s="59"/>
      <c r="G2640" s="59"/>
      <c r="H2640" s="59"/>
    </row>
    <row r="2641" spans="3:8" x14ac:dyDescent="0.25">
      <c r="C2641" s="56"/>
      <c r="D2641" s="60"/>
      <c r="E2641" s="60"/>
      <c r="F2641" s="59"/>
      <c r="G2641" s="59"/>
      <c r="H2641" s="59"/>
    </row>
    <row r="2642" spans="3:8" x14ac:dyDescent="0.25">
      <c r="C2642" s="56"/>
      <c r="D2642" s="60"/>
      <c r="E2642" s="60"/>
      <c r="F2642" s="59"/>
      <c r="G2642" s="59"/>
      <c r="H2642" s="59"/>
    </row>
    <row r="2643" spans="3:8" x14ac:dyDescent="0.25">
      <c r="C2643" s="56"/>
      <c r="D2643" s="60"/>
      <c r="E2643" s="60"/>
      <c r="F2643" s="59"/>
      <c r="G2643" s="59"/>
      <c r="H2643" s="59"/>
    </row>
    <row r="2644" spans="3:8" x14ac:dyDescent="0.25">
      <c r="C2644" s="56"/>
      <c r="D2644" s="60"/>
      <c r="E2644" s="60"/>
      <c r="F2644" s="59"/>
      <c r="G2644" s="59"/>
      <c r="H2644" s="59"/>
    </row>
    <row r="2645" spans="3:8" x14ac:dyDescent="0.25">
      <c r="C2645" s="56"/>
      <c r="D2645" s="60"/>
      <c r="E2645" s="60"/>
      <c r="F2645" s="59"/>
      <c r="G2645" s="59"/>
      <c r="H2645" s="59"/>
    </row>
    <row r="2646" spans="3:8" x14ac:dyDescent="0.25">
      <c r="C2646" s="56"/>
      <c r="D2646" s="60"/>
      <c r="E2646" s="60"/>
      <c r="F2646" s="59"/>
      <c r="G2646" s="59"/>
      <c r="H2646" s="59"/>
    </row>
    <row r="2647" spans="3:8" x14ac:dyDescent="0.25">
      <c r="C2647" s="56"/>
      <c r="D2647" s="60"/>
      <c r="E2647" s="60"/>
      <c r="F2647" s="59"/>
      <c r="G2647" s="59"/>
      <c r="H2647" s="59"/>
    </row>
    <row r="2648" spans="3:8" x14ac:dyDescent="0.25">
      <c r="C2648" s="56"/>
      <c r="D2648" s="60"/>
      <c r="E2648" s="60"/>
      <c r="F2648" s="59"/>
      <c r="G2648" s="59"/>
      <c r="H2648" s="59"/>
    </row>
    <row r="2649" spans="3:8" x14ac:dyDescent="0.25">
      <c r="C2649" s="56"/>
      <c r="D2649" s="60"/>
      <c r="E2649" s="60"/>
      <c r="F2649" s="59"/>
      <c r="G2649" s="59"/>
      <c r="H2649" s="59"/>
    </row>
    <row r="2650" spans="3:8" x14ac:dyDescent="0.25">
      <c r="C2650" s="56"/>
      <c r="D2650" s="60"/>
      <c r="E2650" s="60"/>
      <c r="F2650" s="59"/>
      <c r="G2650" s="59"/>
      <c r="H2650" s="59"/>
    </row>
    <row r="2651" spans="3:8" x14ac:dyDescent="0.25">
      <c r="C2651" s="56"/>
      <c r="D2651" s="60"/>
      <c r="E2651" s="60"/>
      <c r="F2651" s="59"/>
      <c r="G2651" s="59"/>
      <c r="H2651" s="59"/>
    </row>
    <row r="2652" spans="3:8" x14ac:dyDescent="0.25">
      <c r="C2652" s="56"/>
      <c r="D2652" s="60"/>
      <c r="E2652" s="60"/>
      <c r="F2652" s="59"/>
      <c r="G2652" s="59"/>
      <c r="H2652" s="59"/>
    </row>
    <row r="2653" spans="3:8" x14ac:dyDescent="0.25">
      <c r="C2653" s="56"/>
      <c r="D2653" s="60"/>
      <c r="E2653" s="60"/>
      <c r="F2653" s="59"/>
      <c r="G2653" s="59"/>
      <c r="H2653" s="59"/>
    </row>
    <row r="2654" spans="3:8" x14ac:dyDescent="0.25">
      <c r="C2654" s="56"/>
      <c r="D2654" s="60"/>
      <c r="E2654" s="60"/>
      <c r="F2654" s="59"/>
      <c r="G2654" s="59"/>
      <c r="H2654" s="59"/>
    </row>
    <row r="2655" spans="3:8" x14ac:dyDescent="0.25">
      <c r="C2655" s="56"/>
      <c r="D2655" s="60"/>
      <c r="E2655" s="60"/>
      <c r="F2655" s="59"/>
      <c r="G2655" s="59"/>
      <c r="H2655" s="59"/>
    </row>
    <row r="2656" spans="3:8" x14ac:dyDescent="0.25">
      <c r="C2656" s="56"/>
      <c r="D2656" s="60"/>
      <c r="E2656" s="60"/>
      <c r="F2656" s="59"/>
      <c r="G2656" s="59"/>
      <c r="H2656" s="59"/>
    </row>
    <row r="2657" spans="3:8" x14ac:dyDescent="0.25">
      <c r="C2657" s="56"/>
      <c r="D2657" s="60"/>
      <c r="E2657" s="60"/>
      <c r="F2657" s="59"/>
      <c r="G2657" s="59"/>
      <c r="H2657" s="59"/>
    </row>
    <row r="2658" spans="3:8" x14ac:dyDescent="0.25">
      <c r="C2658" s="56"/>
      <c r="D2658" s="60"/>
      <c r="E2658" s="60"/>
      <c r="F2658" s="59"/>
      <c r="G2658" s="59"/>
      <c r="H2658" s="59"/>
    </row>
    <row r="2659" spans="3:8" x14ac:dyDescent="0.25">
      <c r="C2659" s="56"/>
      <c r="D2659" s="60"/>
      <c r="E2659" s="60"/>
      <c r="F2659" s="59"/>
      <c r="G2659" s="59"/>
      <c r="H2659" s="59"/>
    </row>
    <row r="2660" spans="3:8" x14ac:dyDescent="0.25">
      <c r="C2660" s="56"/>
      <c r="D2660" s="60"/>
      <c r="E2660" s="60"/>
      <c r="F2660" s="59"/>
      <c r="G2660" s="59"/>
      <c r="H2660" s="59"/>
    </row>
    <row r="2661" spans="3:8" x14ac:dyDescent="0.25">
      <c r="C2661" s="56"/>
      <c r="D2661" s="60"/>
      <c r="E2661" s="60"/>
      <c r="F2661" s="59"/>
      <c r="G2661" s="59"/>
      <c r="H2661" s="59"/>
    </row>
    <row r="2662" spans="3:8" x14ac:dyDescent="0.25">
      <c r="C2662" s="56"/>
      <c r="D2662" s="60"/>
      <c r="E2662" s="60"/>
      <c r="F2662" s="59"/>
      <c r="G2662" s="59"/>
      <c r="H2662" s="59"/>
    </row>
    <row r="2663" spans="3:8" x14ac:dyDescent="0.25">
      <c r="C2663" s="56"/>
      <c r="D2663" s="60"/>
      <c r="E2663" s="60"/>
      <c r="F2663" s="59"/>
      <c r="G2663" s="59"/>
      <c r="H2663" s="59"/>
    </row>
    <row r="2664" spans="3:8" x14ac:dyDescent="0.25">
      <c r="C2664" s="56"/>
      <c r="D2664" s="60"/>
      <c r="E2664" s="60"/>
      <c r="F2664" s="59"/>
      <c r="G2664" s="59"/>
      <c r="H2664" s="59"/>
    </row>
    <row r="2665" spans="3:8" x14ac:dyDescent="0.25">
      <c r="C2665" s="56"/>
      <c r="D2665" s="60"/>
      <c r="E2665" s="60"/>
      <c r="F2665" s="59"/>
      <c r="G2665" s="59"/>
      <c r="H2665" s="59"/>
    </row>
    <row r="2666" spans="3:8" x14ac:dyDescent="0.25">
      <c r="C2666" s="56"/>
      <c r="D2666" s="60"/>
      <c r="E2666" s="60"/>
      <c r="F2666" s="59"/>
      <c r="G2666" s="59"/>
      <c r="H2666" s="59"/>
    </row>
    <row r="2667" spans="3:8" x14ac:dyDescent="0.25">
      <c r="C2667" s="56"/>
      <c r="D2667" s="60"/>
      <c r="E2667" s="60"/>
      <c r="F2667" s="59"/>
      <c r="G2667" s="59"/>
      <c r="H2667" s="59"/>
    </row>
    <row r="2668" spans="3:8" x14ac:dyDescent="0.25">
      <c r="C2668" s="56"/>
      <c r="D2668" s="60"/>
      <c r="E2668" s="60"/>
      <c r="F2668" s="59"/>
      <c r="G2668" s="59"/>
      <c r="H2668" s="59"/>
    </row>
    <row r="2669" spans="3:8" x14ac:dyDescent="0.25">
      <c r="C2669" s="56"/>
      <c r="D2669" s="60"/>
      <c r="E2669" s="60"/>
      <c r="F2669" s="59"/>
      <c r="G2669" s="59"/>
      <c r="H2669" s="59"/>
    </row>
    <row r="2670" spans="3:8" x14ac:dyDescent="0.25">
      <c r="C2670" s="56"/>
      <c r="D2670" s="60"/>
      <c r="E2670" s="60"/>
      <c r="F2670" s="59"/>
      <c r="G2670" s="59"/>
      <c r="H2670" s="59"/>
    </row>
    <row r="2671" spans="3:8" x14ac:dyDescent="0.25">
      <c r="C2671" s="56"/>
      <c r="D2671" s="60"/>
      <c r="E2671" s="60"/>
      <c r="F2671" s="59"/>
      <c r="G2671" s="59"/>
      <c r="H2671" s="59"/>
    </row>
    <row r="2672" spans="3:8" x14ac:dyDescent="0.25">
      <c r="C2672" s="56"/>
      <c r="D2672" s="60"/>
      <c r="E2672" s="60"/>
      <c r="F2672" s="59"/>
      <c r="G2672" s="59"/>
      <c r="H2672" s="59"/>
    </row>
    <row r="2673" spans="3:8" x14ac:dyDescent="0.25">
      <c r="C2673" s="56"/>
      <c r="D2673" s="60"/>
      <c r="E2673" s="60"/>
      <c r="F2673" s="59"/>
      <c r="G2673" s="59"/>
      <c r="H2673" s="59"/>
    </row>
    <row r="2674" spans="3:8" x14ac:dyDescent="0.25">
      <c r="C2674" s="56"/>
      <c r="D2674" s="60"/>
      <c r="E2674" s="60"/>
      <c r="F2674" s="59"/>
      <c r="G2674" s="59"/>
      <c r="H2674" s="59"/>
    </row>
    <row r="2675" spans="3:8" x14ac:dyDescent="0.25">
      <c r="C2675" s="56"/>
      <c r="D2675" s="60"/>
      <c r="E2675" s="60"/>
      <c r="F2675" s="59"/>
      <c r="G2675" s="59"/>
      <c r="H2675" s="59"/>
    </row>
    <row r="2676" spans="3:8" x14ac:dyDescent="0.25">
      <c r="C2676" s="56"/>
      <c r="D2676" s="60"/>
      <c r="E2676" s="60"/>
      <c r="F2676" s="59"/>
      <c r="G2676" s="59"/>
      <c r="H2676" s="59"/>
    </row>
    <row r="2677" spans="3:8" x14ac:dyDescent="0.25">
      <c r="C2677" s="56"/>
      <c r="D2677" s="60"/>
      <c r="E2677" s="60"/>
      <c r="F2677" s="59"/>
      <c r="G2677" s="59"/>
      <c r="H2677" s="59"/>
    </row>
    <row r="2678" spans="3:8" x14ac:dyDescent="0.25">
      <c r="C2678" s="56"/>
      <c r="D2678" s="60"/>
      <c r="E2678" s="60"/>
      <c r="F2678" s="59"/>
      <c r="G2678" s="59"/>
      <c r="H2678" s="59"/>
    </row>
    <row r="2679" spans="3:8" x14ac:dyDescent="0.25">
      <c r="C2679" s="56"/>
      <c r="D2679" s="60"/>
      <c r="E2679" s="60"/>
      <c r="F2679" s="59"/>
      <c r="G2679" s="59"/>
      <c r="H2679" s="59"/>
    </row>
    <row r="2680" spans="3:8" x14ac:dyDescent="0.25">
      <c r="C2680" s="56"/>
      <c r="D2680" s="60"/>
      <c r="E2680" s="60"/>
      <c r="F2680" s="59"/>
      <c r="G2680" s="59"/>
      <c r="H2680" s="59"/>
    </row>
    <row r="2681" spans="3:8" x14ac:dyDescent="0.25">
      <c r="C2681" s="56"/>
      <c r="D2681" s="60"/>
      <c r="E2681" s="60"/>
      <c r="F2681" s="59"/>
      <c r="G2681" s="59"/>
      <c r="H2681" s="59"/>
    </row>
    <row r="2682" spans="3:8" x14ac:dyDescent="0.25">
      <c r="C2682" s="56"/>
      <c r="D2682" s="60"/>
      <c r="E2682" s="60"/>
      <c r="F2682" s="59"/>
      <c r="G2682" s="59"/>
      <c r="H2682" s="59"/>
    </row>
    <row r="2683" spans="3:8" x14ac:dyDescent="0.25">
      <c r="C2683" s="56"/>
      <c r="D2683" s="60"/>
      <c r="E2683" s="60"/>
      <c r="F2683" s="59"/>
      <c r="G2683" s="59"/>
      <c r="H2683" s="59"/>
    </row>
    <row r="2684" spans="3:8" x14ac:dyDescent="0.25">
      <c r="C2684" s="56"/>
      <c r="D2684" s="60"/>
      <c r="E2684" s="60"/>
      <c r="F2684" s="59"/>
      <c r="G2684" s="59"/>
      <c r="H2684" s="59"/>
    </row>
    <row r="2685" spans="3:8" x14ac:dyDescent="0.25">
      <c r="C2685" s="56"/>
      <c r="D2685" s="60"/>
      <c r="E2685" s="60"/>
      <c r="F2685" s="59"/>
      <c r="G2685" s="59"/>
      <c r="H2685" s="59"/>
    </row>
    <row r="2686" spans="3:8" x14ac:dyDescent="0.25">
      <c r="C2686" s="56"/>
      <c r="D2686" s="60"/>
      <c r="E2686" s="60"/>
      <c r="F2686" s="59"/>
      <c r="G2686" s="59"/>
      <c r="H2686" s="59"/>
    </row>
    <row r="2687" spans="3:8" x14ac:dyDescent="0.25">
      <c r="C2687" s="56"/>
      <c r="D2687" s="60"/>
      <c r="E2687" s="60"/>
      <c r="F2687" s="59"/>
      <c r="G2687" s="59"/>
      <c r="H2687" s="59"/>
    </row>
    <row r="2688" spans="3:8" x14ac:dyDescent="0.25">
      <c r="C2688" s="56"/>
      <c r="D2688" s="60"/>
      <c r="E2688" s="60"/>
      <c r="F2688" s="59"/>
      <c r="G2688" s="59"/>
      <c r="H2688" s="59"/>
    </row>
    <row r="2689" spans="3:8" x14ac:dyDescent="0.25">
      <c r="C2689" s="56"/>
      <c r="D2689" s="60"/>
      <c r="E2689" s="60"/>
      <c r="F2689" s="59"/>
      <c r="G2689" s="59"/>
      <c r="H2689" s="59"/>
    </row>
    <row r="2690" spans="3:8" x14ac:dyDescent="0.25">
      <c r="C2690" s="56"/>
      <c r="D2690" s="60"/>
      <c r="E2690" s="60"/>
      <c r="F2690" s="59"/>
      <c r="G2690" s="59"/>
      <c r="H2690" s="59"/>
    </row>
    <row r="2691" spans="3:8" x14ac:dyDescent="0.25">
      <c r="C2691" s="56"/>
      <c r="D2691" s="60"/>
      <c r="E2691" s="60"/>
      <c r="F2691" s="59"/>
      <c r="G2691" s="59"/>
      <c r="H2691" s="59"/>
    </row>
    <row r="2692" spans="3:8" x14ac:dyDescent="0.25">
      <c r="C2692" s="56"/>
      <c r="D2692" s="60"/>
      <c r="E2692" s="60"/>
      <c r="F2692" s="59"/>
      <c r="G2692" s="59"/>
      <c r="H2692" s="59"/>
    </row>
    <row r="2693" spans="3:8" x14ac:dyDescent="0.25">
      <c r="C2693" s="56"/>
      <c r="D2693" s="60"/>
      <c r="E2693" s="60"/>
      <c r="F2693" s="59"/>
      <c r="G2693" s="59"/>
      <c r="H2693" s="59"/>
    </row>
    <row r="2694" spans="3:8" x14ac:dyDescent="0.25">
      <c r="C2694" s="56"/>
      <c r="D2694" s="60"/>
      <c r="E2694" s="60"/>
      <c r="F2694" s="59"/>
      <c r="G2694" s="59"/>
      <c r="H2694" s="59"/>
    </row>
    <row r="2695" spans="3:8" x14ac:dyDescent="0.25">
      <c r="C2695" s="56"/>
      <c r="D2695" s="60"/>
      <c r="E2695" s="60"/>
      <c r="F2695" s="59"/>
      <c r="G2695" s="59"/>
      <c r="H2695" s="59"/>
    </row>
    <row r="2696" spans="3:8" x14ac:dyDescent="0.25">
      <c r="C2696" s="56"/>
      <c r="D2696" s="60"/>
      <c r="E2696" s="60"/>
      <c r="F2696" s="59"/>
      <c r="G2696" s="59"/>
      <c r="H2696" s="59"/>
    </row>
    <row r="2697" spans="3:8" x14ac:dyDescent="0.25">
      <c r="C2697" s="56"/>
      <c r="D2697" s="60"/>
      <c r="E2697" s="60"/>
      <c r="F2697" s="59"/>
      <c r="G2697" s="59"/>
      <c r="H2697" s="59"/>
    </row>
    <row r="2698" spans="3:8" x14ac:dyDescent="0.25">
      <c r="C2698" s="56"/>
      <c r="D2698" s="60"/>
      <c r="E2698" s="60"/>
      <c r="F2698" s="59"/>
      <c r="G2698" s="59"/>
      <c r="H2698" s="59"/>
    </row>
    <row r="2699" spans="3:8" x14ac:dyDescent="0.25">
      <c r="C2699" s="56"/>
      <c r="D2699" s="60"/>
      <c r="E2699" s="60"/>
      <c r="F2699" s="59"/>
      <c r="G2699" s="59"/>
      <c r="H2699" s="59"/>
    </row>
    <row r="2700" spans="3:8" x14ac:dyDescent="0.25">
      <c r="C2700" s="56"/>
      <c r="D2700" s="60"/>
      <c r="E2700" s="60"/>
      <c r="F2700" s="59"/>
      <c r="G2700" s="59"/>
      <c r="H2700" s="59"/>
    </row>
    <row r="2701" spans="3:8" x14ac:dyDescent="0.25">
      <c r="C2701" s="56"/>
      <c r="D2701" s="60"/>
      <c r="E2701" s="60"/>
      <c r="F2701" s="59"/>
      <c r="G2701" s="59"/>
      <c r="H2701" s="59"/>
    </row>
    <row r="2702" spans="3:8" x14ac:dyDescent="0.25">
      <c r="C2702" s="56"/>
      <c r="D2702" s="60"/>
      <c r="E2702" s="60"/>
      <c r="F2702" s="59"/>
      <c r="G2702" s="59"/>
      <c r="H2702" s="59"/>
    </row>
    <row r="2703" spans="3:8" x14ac:dyDescent="0.25">
      <c r="C2703" s="56"/>
      <c r="D2703" s="60"/>
      <c r="E2703" s="60"/>
      <c r="F2703" s="59"/>
      <c r="G2703" s="59"/>
      <c r="H2703" s="59"/>
    </row>
    <row r="2704" spans="3:8" x14ac:dyDescent="0.25">
      <c r="C2704" s="56"/>
      <c r="D2704" s="60"/>
      <c r="E2704" s="60"/>
      <c r="F2704" s="59"/>
      <c r="G2704" s="59"/>
      <c r="H2704" s="59"/>
    </row>
    <row r="2705" spans="3:8" x14ac:dyDescent="0.25">
      <c r="C2705" s="56"/>
      <c r="D2705" s="60"/>
      <c r="E2705" s="60"/>
      <c r="F2705" s="59"/>
      <c r="G2705" s="59"/>
      <c r="H2705" s="59"/>
    </row>
    <row r="2706" spans="3:8" x14ac:dyDescent="0.25">
      <c r="C2706" s="56"/>
      <c r="D2706" s="60"/>
      <c r="E2706" s="60"/>
      <c r="F2706" s="59"/>
      <c r="G2706" s="59"/>
      <c r="H2706" s="59"/>
    </row>
    <row r="2707" spans="3:8" x14ac:dyDescent="0.25">
      <c r="C2707" s="56"/>
      <c r="D2707" s="60"/>
      <c r="E2707" s="60"/>
      <c r="F2707" s="59"/>
      <c r="G2707" s="59"/>
      <c r="H2707" s="59"/>
    </row>
    <row r="2708" spans="3:8" x14ac:dyDescent="0.25">
      <c r="C2708" s="56"/>
      <c r="D2708" s="60"/>
      <c r="E2708" s="60"/>
      <c r="F2708" s="59"/>
      <c r="G2708" s="59"/>
      <c r="H2708" s="59"/>
    </row>
    <row r="2709" spans="3:8" x14ac:dyDescent="0.25">
      <c r="C2709" s="56"/>
      <c r="D2709" s="60"/>
      <c r="E2709" s="60"/>
      <c r="F2709" s="59"/>
      <c r="G2709" s="59"/>
      <c r="H2709" s="59"/>
    </row>
    <row r="2710" spans="3:8" x14ac:dyDescent="0.25">
      <c r="C2710" s="56"/>
      <c r="D2710" s="60"/>
      <c r="E2710" s="60"/>
      <c r="F2710" s="59"/>
      <c r="G2710" s="59"/>
      <c r="H2710" s="59"/>
    </row>
    <row r="2711" spans="3:8" x14ac:dyDescent="0.25">
      <c r="C2711" s="56"/>
      <c r="D2711" s="60"/>
      <c r="E2711" s="60"/>
      <c r="F2711" s="59"/>
      <c r="G2711" s="59"/>
      <c r="H2711" s="59"/>
    </row>
    <row r="2712" spans="3:8" x14ac:dyDescent="0.25">
      <c r="C2712" s="56"/>
      <c r="D2712" s="60"/>
      <c r="E2712" s="60"/>
      <c r="F2712" s="59"/>
      <c r="G2712" s="59"/>
      <c r="H2712" s="59"/>
    </row>
    <row r="2713" spans="3:8" x14ac:dyDescent="0.25">
      <c r="C2713" s="56"/>
      <c r="D2713" s="60"/>
      <c r="E2713" s="60"/>
      <c r="F2713" s="59"/>
      <c r="G2713" s="59"/>
      <c r="H2713" s="59"/>
    </row>
    <row r="2714" spans="3:8" x14ac:dyDescent="0.25">
      <c r="C2714" s="56"/>
      <c r="D2714" s="60"/>
      <c r="E2714" s="60"/>
      <c r="F2714" s="59"/>
      <c r="G2714" s="59"/>
      <c r="H2714" s="59"/>
    </row>
    <row r="2715" spans="3:8" x14ac:dyDescent="0.25">
      <c r="C2715" s="56"/>
      <c r="D2715" s="60"/>
      <c r="E2715" s="60"/>
      <c r="F2715" s="59"/>
      <c r="G2715" s="59"/>
      <c r="H2715" s="59"/>
    </row>
    <row r="2716" spans="3:8" x14ac:dyDescent="0.25">
      <c r="C2716" s="56"/>
      <c r="D2716" s="60"/>
      <c r="E2716" s="60"/>
      <c r="F2716" s="59"/>
      <c r="G2716" s="59"/>
      <c r="H2716" s="59"/>
    </row>
    <row r="2717" spans="3:8" x14ac:dyDescent="0.25">
      <c r="C2717" s="56"/>
      <c r="D2717" s="60"/>
      <c r="E2717" s="60"/>
      <c r="F2717" s="59"/>
      <c r="G2717" s="59"/>
      <c r="H2717" s="59"/>
    </row>
    <row r="2718" spans="3:8" x14ac:dyDescent="0.25">
      <c r="C2718" s="56"/>
      <c r="D2718" s="60"/>
      <c r="E2718" s="60"/>
      <c r="F2718" s="59"/>
      <c r="G2718" s="59"/>
      <c r="H2718" s="59"/>
    </row>
    <row r="2719" spans="3:8" x14ac:dyDescent="0.25">
      <c r="C2719" s="56"/>
      <c r="D2719" s="60"/>
      <c r="E2719" s="60"/>
      <c r="F2719" s="59"/>
      <c r="G2719" s="59"/>
      <c r="H2719" s="59"/>
    </row>
    <row r="2720" spans="3:8" x14ac:dyDescent="0.25">
      <c r="C2720" s="56"/>
      <c r="D2720" s="60"/>
      <c r="E2720" s="60"/>
      <c r="F2720" s="59"/>
      <c r="G2720" s="59"/>
      <c r="H2720" s="59"/>
    </row>
    <row r="2721" spans="3:8" x14ac:dyDescent="0.25">
      <c r="C2721" s="56"/>
      <c r="D2721" s="60"/>
      <c r="E2721" s="60"/>
      <c r="F2721" s="59"/>
      <c r="G2721" s="59"/>
      <c r="H2721" s="59"/>
    </row>
    <row r="2722" spans="3:8" x14ac:dyDescent="0.25">
      <c r="C2722" s="56"/>
      <c r="D2722" s="60"/>
      <c r="E2722" s="60"/>
      <c r="F2722" s="59"/>
      <c r="G2722" s="59"/>
      <c r="H2722" s="59"/>
    </row>
    <row r="2723" spans="3:8" x14ac:dyDescent="0.25">
      <c r="C2723" s="56"/>
      <c r="D2723" s="60"/>
      <c r="E2723" s="60"/>
      <c r="F2723" s="59"/>
      <c r="G2723" s="59"/>
      <c r="H2723" s="59"/>
    </row>
    <row r="2724" spans="3:8" x14ac:dyDescent="0.25">
      <c r="C2724" s="56"/>
      <c r="D2724" s="60"/>
      <c r="E2724" s="60"/>
      <c r="F2724" s="59"/>
      <c r="G2724" s="59"/>
      <c r="H2724" s="59"/>
    </row>
    <row r="2725" spans="3:8" x14ac:dyDescent="0.25">
      <c r="C2725" s="56"/>
      <c r="D2725" s="60"/>
      <c r="E2725" s="60"/>
      <c r="F2725" s="59"/>
      <c r="G2725" s="59"/>
      <c r="H2725" s="59"/>
    </row>
    <row r="2726" spans="3:8" x14ac:dyDescent="0.25">
      <c r="C2726" s="56"/>
      <c r="D2726" s="60"/>
      <c r="E2726" s="60"/>
      <c r="F2726" s="59"/>
      <c r="G2726" s="59"/>
      <c r="H2726" s="59"/>
    </row>
    <row r="2727" spans="3:8" x14ac:dyDescent="0.25">
      <c r="C2727" s="56"/>
      <c r="D2727" s="60"/>
      <c r="E2727" s="60"/>
      <c r="F2727" s="59"/>
      <c r="G2727" s="59"/>
      <c r="H2727" s="59"/>
    </row>
    <row r="2728" spans="3:8" x14ac:dyDescent="0.25">
      <c r="C2728" s="56"/>
      <c r="D2728" s="60"/>
      <c r="E2728" s="60"/>
      <c r="F2728" s="59"/>
      <c r="G2728" s="59"/>
      <c r="H2728" s="59"/>
    </row>
    <row r="2729" spans="3:8" x14ac:dyDescent="0.25">
      <c r="C2729" s="56"/>
      <c r="D2729" s="60"/>
      <c r="E2729" s="60"/>
      <c r="F2729" s="59"/>
      <c r="G2729" s="59"/>
      <c r="H2729" s="59"/>
    </row>
    <row r="2730" spans="3:8" x14ac:dyDescent="0.25">
      <c r="C2730" s="56"/>
      <c r="D2730" s="60"/>
      <c r="E2730" s="60"/>
      <c r="F2730" s="59"/>
      <c r="G2730" s="59"/>
      <c r="H2730" s="59"/>
    </row>
    <row r="2731" spans="3:8" x14ac:dyDescent="0.25">
      <c r="C2731" s="56"/>
      <c r="D2731" s="60"/>
      <c r="E2731" s="60"/>
      <c r="F2731" s="59"/>
      <c r="G2731" s="59"/>
      <c r="H2731" s="59"/>
    </row>
    <row r="2732" spans="3:8" x14ac:dyDescent="0.25">
      <c r="C2732" s="56"/>
      <c r="D2732" s="60"/>
      <c r="E2732" s="60"/>
      <c r="F2732" s="59"/>
      <c r="G2732" s="59"/>
      <c r="H2732" s="59"/>
    </row>
    <row r="2733" spans="3:8" x14ac:dyDescent="0.25">
      <c r="C2733" s="56"/>
      <c r="D2733" s="60"/>
      <c r="E2733" s="60"/>
      <c r="F2733" s="59"/>
      <c r="G2733" s="59"/>
      <c r="H2733" s="59"/>
    </row>
    <row r="2734" spans="3:8" x14ac:dyDescent="0.25">
      <c r="C2734" s="56"/>
      <c r="D2734" s="60"/>
      <c r="E2734" s="60"/>
      <c r="F2734" s="59"/>
      <c r="G2734" s="59"/>
      <c r="H2734" s="59"/>
    </row>
    <row r="2735" spans="3:8" x14ac:dyDescent="0.25">
      <c r="C2735" s="56"/>
      <c r="D2735" s="60"/>
      <c r="E2735" s="60"/>
      <c r="F2735" s="59"/>
      <c r="G2735" s="59"/>
      <c r="H2735" s="59"/>
    </row>
    <row r="2736" spans="3:8" x14ac:dyDescent="0.25">
      <c r="C2736" s="56"/>
      <c r="D2736" s="60"/>
      <c r="E2736" s="60"/>
      <c r="F2736" s="59"/>
      <c r="G2736" s="59"/>
      <c r="H2736" s="59"/>
    </row>
    <row r="2737" spans="3:8" x14ac:dyDescent="0.25">
      <c r="C2737" s="56"/>
      <c r="D2737" s="60"/>
      <c r="E2737" s="60"/>
      <c r="F2737" s="59"/>
      <c r="G2737" s="59"/>
      <c r="H2737" s="59"/>
    </row>
    <row r="2738" spans="3:8" x14ac:dyDescent="0.25">
      <c r="C2738" s="56"/>
      <c r="D2738" s="60"/>
      <c r="E2738" s="60"/>
      <c r="F2738" s="59"/>
      <c r="G2738" s="59"/>
      <c r="H2738" s="59"/>
    </row>
    <row r="2739" spans="3:8" x14ac:dyDescent="0.25">
      <c r="C2739" s="56"/>
      <c r="D2739" s="60"/>
      <c r="E2739" s="60"/>
      <c r="F2739" s="59"/>
      <c r="G2739" s="59"/>
      <c r="H2739" s="59"/>
    </row>
    <row r="2740" spans="3:8" x14ac:dyDescent="0.25">
      <c r="C2740" s="56"/>
      <c r="D2740" s="60"/>
      <c r="E2740" s="60"/>
      <c r="F2740" s="59"/>
      <c r="G2740" s="59"/>
      <c r="H2740" s="59"/>
    </row>
    <row r="2741" spans="3:8" x14ac:dyDescent="0.25">
      <c r="C2741" s="56"/>
      <c r="D2741" s="60"/>
      <c r="E2741" s="60"/>
      <c r="F2741" s="59"/>
      <c r="G2741" s="59"/>
      <c r="H2741" s="59"/>
    </row>
    <row r="2742" spans="3:8" x14ac:dyDescent="0.25">
      <c r="C2742" s="56"/>
      <c r="D2742" s="60"/>
      <c r="E2742" s="60"/>
      <c r="F2742" s="59"/>
      <c r="G2742" s="59"/>
      <c r="H2742" s="59"/>
    </row>
    <row r="2743" spans="3:8" x14ac:dyDescent="0.25">
      <c r="C2743" s="56"/>
      <c r="D2743" s="60"/>
      <c r="E2743" s="60"/>
      <c r="F2743" s="59"/>
      <c r="G2743" s="59"/>
      <c r="H2743" s="59"/>
    </row>
    <row r="2744" spans="3:8" x14ac:dyDescent="0.25">
      <c r="C2744" s="56"/>
      <c r="D2744" s="60"/>
      <c r="E2744" s="60"/>
      <c r="F2744" s="59"/>
      <c r="G2744" s="59"/>
      <c r="H2744" s="59"/>
    </row>
    <row r="2745" spans="3:8" x14ac:dyDescent="0.25">
      <c r="C2745" s="56"/>
      <c r="D2745" s="60"/>
      <c r="E2745" s="60"/>
      <c r="F2745" s="59"/>
      <c r="G2745" s="59"/>
      <c r="H2745" s="59"/>
    </row>
    <row r="2746" spans="3:8" x14ac:dyDescent="0.25">
      <c r="C2746" s="56"/>
      <c r="D2746" s="60"/>
      <c r="E2746" s="60"/>
      <c r="F2746" s="59"/>
      <c r="G2746" s="59"/>
      <c r="H2746" s="59"/>
    </row>
    <row r="2747" spans="3:8" x14ac:dyDescent="0.25">
      <c r="C2747" s="56"/>
      <c r="D2747" s="60"/>
      <c r="E2747" s="60"/>
      <c r="F2747" s="59"/>
      <c r="G2747" s="59"/>
      <c r="H2747" s="59"/>
    </row>
    <row r="2748" spans="3:8" x14ac:dyDescent="0.25">
      <c r="C2748" s="56"/>
      <c r="D2748" s="60"/>
      <c r="E2748" s="60"/>
      <c r="F2748" s="59"/>
      <c r="G2748" s="59"/>
      <c r="H2748" s="59"/>
    </row>
    <row r="2749" spans="3:8" x14ac:dyDescent="0.25">
      <c r="C2749" s="56"/>
      <c r="D2749" s="60"/>
      <c r="E2749" s="60"/>
      <c r="F2749" s="59"/>
      <c r="G2749" s="59"/>
      <c r="H2749" s="59"/>
    </row>
    <row r="2750" spans="3:8" x14ac:dyDescent="0.25">
      <c r="C2750" s="56"/>
      <c r="D2750" s="60"/>
      <c r="E2750" s="60"/>
      <c r="F2750" s="59"/>
      <c r="G2750" s="59"/>
      <c r="H2750" s="59"/>
    </row>
    <row r="2751" spans="3:8" x14ac:dyDescent="0.25">
      <c r="C2751" s="56"/>
      <c r="D2751" s="60"/>
      <c r="E2751" s="60"/>
      <c r="F2751" s="59"/>
      <c r="G2751" s="59"/>
      <c r="H2751" s="59"/>
    </row>
    <row r="2752" spans="3:8" x14ac:dyDescent="0.25">
      <c r="C2752" s="56"/>
      <c r="D2752" s="60"/>
      <c r="E2752" s="60"/>
      <c r="F2752" s="59"/>
      <c r="G2752" s="59"/>
      <c r="H2752" s="59"/>
    </row>
    <row r="2753" spans="3:8" x14ac:dyDescent="0.25">
      <c r="C2753" s="56"/>
      <c r="D2753" s="60"/>
      <c r="E2753" s="60"/>
      <c r="F2753" s="59"/>
      <c r="G2753" s="59"/>
      <c r="H2753" s="59"/>
    </row>
    <row r="2754" spans="3:8" x14ac:dyDescent="0.25">
      <c r="C2754" s="56"/>
      <c r="D2754" s="60"/>
      <c r="E2754" s="60"/>
      <c r="F2754" s="59"/>
      <c r="G2754" s="59"/>
      <c r="H2754" s="59"/>
    </row>
    <row r="2755" spans="3:8" x14ac:dyDescent="0.25">
      <c r="C2755" s="56"/>
      <c r="D2755" s="60"/>
      <c r="E2755" s="60"/>
      <c r="F2755" s="59"/>
      <c r="G2755" s="59"/>
      <c r="H2755" s="59"/>
    </row>
    <row r="2756" spans="3:8" x14ac:dyDescent="0.25">
      <c r="C2756" s="56"/>
      <c r="D2756" s="60"/>
      <c r="E2756" s="60"/>
      <c r="F2756" s="59"/>
      <c r="G2756" s="59"/>
      <c r="H2756" s="59"/>
    </row>
    <row r="2757" spans="3:8" x14ac:dyDescent="0.25">
      <c r="C2757" s="56"/>
      <c r="D2757" s="60"/>
      <c r="E2757" s="60"/>
      <c r="F2757" s="59"/>
      <c r="G2757" s="59"/>
      <c r="H2757" s="59"/>
    </row>
    <row r="2758" spans="3:8" x14ac:dyDescent="0.25">
      <c r="C2758" s="56"/>
      <c r="D2758" s="60"/>
      <c r="E2758" s="60"/>
      <c r="F2758" s="59"/>
      <c r="G2758" s="59"/>
      <c r="H2758" s="59"/>
    </row>
    <row r="2759" spans="3:8" x14ac:dyDescent="0.25">
      <c r="C2759" s="56"/>
      <c r="D2759" s="60"/>
      <c r="E2759" s="60"/>
      <c r="F2759" s="59"/>
      <c r="G2759" s="59"/>
      <c r="H2759" s="59"/>
    </row>
    <row r="2760" spans="3:8" x14ac:dyDescent="0.25">
      <c r="C2760" s="56"/>
      <c r="D2760" s="60"/>
      <c r="E2760" s="60"/>
      <c r="F2760" s="59"/>
      <c r="G2760" s="59"/>
      <c r="H2760" s="59"/>
    </row>
    <row r="2761" spans="3:8" x14ac:dyDescent="0.25">
      <c r="C2761" s="56"/>
      <c r="D2761" s="60"/>
      <c r="E2761" s="60"/>
      <c r="F2761" s="59"/>
      <c r="G2761" s="59"/>
      <c r="H2761" s="59"/>
    </row>
    <row r="2762" spans="3:8" x14ac:dyDescent="0.25">
      <c r="C2762" s="56"/>
      <c r="D2762" s="60"/>
      <c r="E2762" s="60"/>
      <c r="F2762" s="59"/>
      <c r="G2762" s="59"/>
      <c r="H2762" s="59"/>
    </row>
    <row r="2763" spans="3:8" x14ac:dyDescent="0.25">
      <c r="C2763" s="56"/>
      <c r="D2763" s="60"/>
      <c r="E2763" s="60"/>
      <c r="F2763" s="59"/>
      <c r="G2763" s="59"/>
      <c r="H2763" s="59"/>
    </row>
    <row r="2764" spans="3:8" x14ac:dyDescent="0.25">
      <c r="C2764" s="11"/>
      <c r="D2764" s="12"/>
      <c r="E2764" s="12"/>
      <c r="F2764" s="3"/>
      <c r="G2764" s="3"/>
      <c r="H2764" s="3"/>
    </row>
    <row r="2765" spans="3:8" x14ac:dyDescent="0.25">
      <c r="C2765" s="11"/>
      <c r="D2765" s="12"/>
      <c r="E2765" s="12"/>
      <c r="F2765" s="3"/>
      <c r="G2765" s="3"/>
      <c r="H2765" s="3"/>
    </row>
    <row r="2766" spans="3:8" ht="15.75" thickBot="1" x14ac:dyDescent="0.3">
      <c r="C2766" s="13"/>
      <c r="D2766" s="14"/>
      <c r="E2766" s="14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1" zoomScale="96" zoomScaleNormal="100" zoomScalePageLayoutView="96" workbookViewId="0">
      <selection activeCell="C16" sqref="C16"/>
    </sheetView>
  </sheetViews>
  <sheetFormatPr defaultColWidth="0" defaultRowHeight="15" zeroHeight="1" x14ac:dyDescent="0.25"/>
  <cols>
    <col min="1" max="1" width="1.85546875" style="31" hidden="1" customWidth="1"/>
    <col min="2" max="2" width="26.1406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85546875" style="1" customWidth="1"/>
    <col min="10" max="10" width="20.42578125" customWidth="1"/>
    <col min="11" max="11" width="4.85546875" style="1" customWidth="1"/>
    <col min="12" max="13" width="1.140625" style="1" customWidth="1"/>
    <col min="14" max="14" width="1.42578125" style="1" customWidth="1"/>
    <col min="15" max="15" width="1" customWidth="1"/>
    <col min="16" max="16" width="3.7109375" hidden="1" customWidth="1"/>
    <col min="17" max="17" width="20.42578125" hidden="1" customWidth="1"/>
    <col min="18" max="18" width="5.7109375" hidden="1" customWidth="1"/>
    <col min="19" max="19" width="17.7109375" hidden="1" customWidth="1"/>
    <col min="20" max="16384" width="9.140625" hidden="1"/>
  </cols>
  <sheetData>
    <row r="1" spans="2:14" s="31" customFormat="1" ht="25.5" x14ac:dyDescent="0.35">
      <c r="B1" s="158" t="str">
        <f>IF(Information!D5="","",Information!D5)</f>
        <v>TEMPANE SENIOR HIGH SCHOOL</v>
      </c>
      <c r="C1" s="158"/>
      <c r="D1" s="158"/>
      <c r="E1" s="158"/>
      <c r="F1" s="158"/>
      <c r="G1" s="158"/>
      <c r="H1" s="158"/>
      <c r="I1" s="158"/>
      <c r="J1" s="158"/>
      <c r="K1" s="158"/>
      <c r="L1" s="88"/>
      <c r="M1" s="88"/>
      <c r="N1" s="88"/>
    </row>
    <row r="2" spans="2:14" s="31" customFormat="1" ht="25.5" x14ac:dyDescent="0.35">
      <c r="B2" s="158" t="str">
        <f>IF(Information!D7="","",Information!C7 &amp;"    "&amp;Information!D7)</f>
        <v xml:space="preserve">    NKRUMAH HOUSE ELECTIONS </v>
      </c>
      <c r="C2" s="158"/>
      <c r="D2" s="158"/>
      <c r="E2" s="158"/>
      <c r="F2" s="158"/>
      <c r="G2" s="158"/>
      <c r="H2" s="158"/>
      <c r="I2" s="158"/>
      <c r="J2" s="158"/>
      <c r="K2" s="158"/>
      <c r="L2" s="88"/>
      <c r="M2" s="88"/>
      <c r="N2" s="88"/>
    </row>
    <row r="3" spans="2:14" s="31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59" t="s">
        <v>53</v>
      </c>
      <c r="C4" s="160"/>
      <c r="D4" s="94"/>
      <c r="E4" s="94"/>
      <c r="F4" s="94"/>
      <c r="G4"/>
      <c r="I4"/>
      <c r="K4"/>
      <c r="L4"/>
      <c r="M4"/>
      <c r="N4"/>
    </row>
    <row r="5" spans="2:14" x14ac:dyDescent="0.25">
      <c r="B5" s="101" t="str">
        <f>IF('Tally of Votes'!P2=0,"",'Tally of Votes'!P2)</f>
        <v>Jonas Adiku</v>
      </c>
      <c r="C5" s="102">
        <f>IF(B5="","",'Tally of Votes'!Q2)</f>
        <v>0</v>
      </c>
      <c r="D5" s="95"/>
      <c r="E5" s="95"/>
      <c r="F5" s="95"/>
      <c r="G5"/>
      <c r="I5"/>
      <c r="K5"/>
      <c r="L5"/>
      <c r="M5"/>
      <c r="N5"/>
    </row>
    <row r="6" spans="2:14" x14ac:dyDescent="0.25">
      <c r="B6" s="101" t="str">
        <f>IF('Tally of Votes'!P3=0,"",'Tally of Votes'!P3)</f>
        <v>Divine Jonas</v>
      </c>
      <c r="C6" s="102">
        <f>IF(B6="","",'Tally of Votes'!Q3)</f>
        <v>0</v>
      </c>
      <c r="D6" s="95"/>
      <c r="E6" s="95"/>
      <c r="F6" s="95"/>
      <c r="G6"/>
      <c r="I6"/>
      <c r="K6"/>
      <c r="L6"/>
      <c r="M6"/>
      <c r="N6"/>
    </row>
    <row r="7" spans="2:14" x14ac:dyDescent="0.25">
      <c r="B7" s="101" t="str">
        <f>IF('Tally of Votes'!P4=0,"",'Tally of Votes'!P4)</f>
        <v>Abugri Awini</v>
      </c>
      <c r="C7" s="102">
        <f>IF(B7="","",'Tally of Votes'!Q4)</f>
        <v>0</v>
      </c>
      <c r="D7" s="95"/>
      <c r="E7" s="95"/>
      <c r="F7" s="95"/>
      <c r="G7"/>
      <c r="I7"/>
      <c r="K7"/>
      <c r="L7"/>
      <c r="M7"/>
      <c r="N7"/>
    </row>
    <row r="8" spans="2:14" x14ac:dyDescent="0.25">
      <c r="B8" s="101" t="str">
        <f>IF('Tally of Votes'!P5=0,"",'Tally of Votes'!P5)</f>
        <v>Bugri Tilata</v>
      </c>
      <c r="C8" s="102">
        <f>IF(B8="","",'Tally of Votes'!Q5)</f>
        <v>0</v>
      </c>
      <c r="D8" s="95"/>
      <c r="E8" s="95"/>
      <c r="F8" s="95"/>
      <c r="G8"/>
      <c r="I8"/>
      <c r="K8"/>
      <c r="L8"/>
      <c r="M8"/>
      <c r="N8"/>
    </row>
    <row r="9" spans="2:14" x14ac:dyDescent="0.25">
      <c r="B9" s="101" t="str">
        <f>IF('Tally of Votes'!P6=0,"",'Tally of Votes'!P6)</f>
        <v/>
      </c>
      <c r="C9" s="102" t="str">
        <f>IF(B9="","",'Tally of Votes'!Q6)</f>
        <v/>
      </c>
      <c r="D9" s="95"/>
      <c r="E9" s="95"/>
      <c r="F9" s="95"/>
      <c r="G9"/>
      <c r="I9"/>
      <c r="K9"/>
      <c r="L9"/>
      <c r="M9"/>
      <c r="N9"/>
    </row>
    <row r="10" spans="2:14" x14ac:dyDescent="0.25">
      <c r="B10" s="101" t="str">
        <f>IF('Tally of Votes'!P7=0,"",'Tally of Votes'!P7)</f>
        <v/>
      </c>
      <c r="C10" s="102" t="str">
        <f>IF(B10="","",'Tally of Votes'!Q7)</f>
        <v/>
      </c>
      <c r="D10" s="95"/>
      <c r="E10" s="95"/>
      <c r="F10" s="95"/>
      <c r="G10"/>
      <c r="I10"/>
      <c r="K10"/>
      <c r="L10"/>
      <c r="M10"/>
      <c r="N10"/>
    </row>
    <row r="11" spans="2:14" x14ac:dyDescent="0.25">
      <c r="B11" s="101" t="str">
        <f>IF('Tally of Votes'!P8=0,"",'Tally of Votes'!P8)</f>
        <v/>
      </c>
      <c r="C11" s="102" t="str">
        <f>IF(B11="","",'Tally of Votes'!Q8)</f>
        <v/>
      </c>
      <c r="D11" s="95"/>
      <c r="E11" s="95"/>
      <c r="F11" s="95"/>
      <c r="G11"/>
      <c r="I11"/>
      <c r="K11"/>
      <c r="L11"/>
      <c r="M11"/>
      <c r="N11"/>
    </row>
    <row r="12" spans="2:14" x14ac:dyDescent="0.25"/>
    <row r="13" spans="2:14" x14ac:dyDescent="0.25">
      <c r="J13" s="1"/>
      <c r="M13"/>
      <c r="N13"/>
    </row>
    <row r="14" spans="2:14" x14ac:dyDescent="0.25">
      <c r="D14" s="1"/>
      <c r="F14" s="1"/>
      <c r="G14"/>
      <c r="I14"/>
      <c r="K14"/>
      <c r="L14"/>
      <c r="M14"/>
      <c r="N14"/>
    </row>
    <row r="15" spans="2:14" x14ac:dyDescent="0.25">
      <c r="D15" s="1"/>
      <c r="F15" s="1"/>
      <c r="G15"/>
      <c r="I15"/>
      <c r="K15"/>
      <c r="L15"/>
      <c r="M15"/>
      <c r="N15"/>
    </row>
    <row r="16" spans="2:14" x14ac:dyDescent="0.25">
      <c r="D16" s="1"/>
      <c r="F16" s="1"/>
      <c r="G16"/>
      <c r="I16"/>
      <c r="K16"/>
      <c r="L16"/>
      <c r="M16"/>
      <c r="N16"/>
    </row>
    <row r="17" spans="2:14" x14ac:dyDescent="0.25">
      <c r="D17" s="1"/>
      <c r="F17" s="1"/>
      <c r="G17"/>
      <c r="I17"/>
      <c r="K17"/>
      <c r="L17"/>
      <c r="M17"/>
      <c r="N17"/>
    </row>
    <row r="18" spans="2:14" x14ac:dyDescent="0.25">
      <c r="D18" s="1"/>
      <c r="F18" s="1"/>
      <c r="G18"/>
      <c r="I18"/>
      <c r="K18"/>
      <c r="L18"/>
      <c r="M18"/>
      <c r="N18"/>
    </row>
    <row r="19" spans="2:14" x14ac:dyDescent="0.25">
      <c r="D19" s="1"/>
      <c r="F19" s="1"/>
      <c r="G19"/>
      <c r="I19"/>
      <c r="K19"/>
      <c r="L19"/>
      <c r="M19"/>
      <c r="N19"/>
    </row>
    <row r="20" spans="2:14" x14ac:dyDescent="0.25">
      <c r="D20" s="1"/>
      <c r="F20" s="1"/>
      <c r="G20"/>
      <c r="I20"/>
      <c r="K20"/>
      <c r="L20"/>
      <c r="M20"/>
      <c r="N20"/>
    </row>
    <row r="21" spans="2:14" x14ac:dyDescent="0.25">
      <c r="D21" s="1"/>
      <c r="F21" s="1"/>
      <c r="G21"/>
      <c r="I21"/>
      <c r="K21"/>
      <c r="L21"/>
      <c r="M21"/>
      <c r="N21"/>
    </row>
    <row r="22" spans="2:14" x14ac:dyDescent="0.25"/>
    <row r="23" spans="2:14" x14ac:dyDescent="0.25"/>
    <row r="24" spans="2:14" x14ac:dyDescent="0.25">
      <c r="B24" s="31"/>
      <c r="F24" s="31"/>
    </row>
    <row r="25" spans="2:14" x14ac:dyDescent="0.25"/>
    <row r="26" spans="2:14" x14ac:dyDescent="0.25"/>
    <row r="27" spans="2:14" x14ac:dyDescent="0.25"/>
    <row r="28" spans="2:14" x14ac:dyDescent="0.25"/>
    <row r="29" spans="2:14" x14ac:dyDescent="0.25"/>
    <row r="30" spans="2:14" x14ac:dyDescent="0.25"/>
    <row r="31" spans="2:14" x14ac:dyDescent="0.25"/>
    <row r="32" spans="2:14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aVPQWj1WpCcSQgX39H5Lo+ZLghRLxglWBkpeYScCgKdtBSAKvVO6N+ALt+ICyqw0q0BhD+gazr79UgQ9RGfVxQ==" saltValue="Wazc+sd100WG+FHhvw1Dbg==" spinCount="100000" sheet="1" objects="1" scenarios="1" selectLockedCells="1" selectUnlockedCells="1"/>
  <mergeCells count="3">
    <mergeCell ref="B1:K1"/>
    <mergeCell ref="B2:K2"/>
    <mergeCell ref="B4:C4"/>
  </mergeCells>
  <pageMargins left="0.5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zoomScaleNormal="100" workbookViewId="0">
      <selection activeCell="AI16" sqref="AI16:AL25"/>
    </sheetView>
  </sheetViews>
  <sheetFormatPr defaultColWidth="9.140625" defaultRowHeight="15" x14ac:dyDescent="0.25"/>
  <cols>
    <col min="1" max="1" width="3.28515625" style="31" customWidth="1"/>
    <col min="2" max="2" width="58.7109375" style="46" customWidth="1"/>
    <col min="3" max="3" width="3.85546875" style="31" hidden="1" customWidth="1"/>
    <col min="4" max="4" width="10.140625" style="31" hidden="1" customWidth="1"/>
    <col min="5" max="5" width="14" style="31" customWidth="1"/>
    <col min="6" max="6" width="0.42578125" style="31" hidden="1" customWidth="1"/>
    <col min="7" max="7" width="16.5703125" style="31" hidden="1" customWidth="1"/>
    <col min="8" max="8" width="9.85546875" style="31" hidden="1" customWidth="1"/>
    <col min="9" max="9" width="7.28515625" style="31" hidden="1" customWidth="1"/>
    <col min="10" max="10" width="22.7109375" style="31" hidden="1" customWidth="1"/>
    <col min="11" max="11" width="16.5703125" style="31" hidden="1" customWidth="1"/>
    <col min="12" max="12" width="9.42578125" style="31" hidden="1" customWidth="1"/>
    <col min="13" max="13" width="6.5703125" style="31" hidden="1" customWidth="1"/>
    <col min="14" max="14" width="21.7109375" style="31" hidden="1" customWidth="1"/>
    <col min="15" max="15" width="16.5703125" style="31" hidden="1" customWidth="1"/>
    <col min="16" max="16" width="6.85546875" style="31" hidden="1" customWidth="1"/>
    <col min="17" max="17" width="7.7109375" style="31" hidden="1" customWidth="1"/>
    <col min="18" max="18" width="20.5703125" style="31" hidden="1" customWidth="1"/>
    <col min="19" max="19" width="16.5703125" style="31" hidden="1" customWidth="1"/>
    <col min="20" max="20" width="19.28515625" style="31" hidden="1" customWidth="1"/>
    <col min="21" max="21" width="7.140625" style="31" hidden="1" customWidth="1"/>
    <col min="22" max="22" width="27.85546875" style="31" hidden="1" customWidth="1"/>
    <col min="23" max="23" width="16.5703125" style="31" hidden="1" customWidth="1"/>
    <col min="24" max="24" width="19.28515625" style="31" hidden="1" customWidth="1"/>
    <col min="25" max="25" width="7.5703125" style="31" hidden="1" customWidth="1"/>
    <col min="26" max="26" width="20.5703125" style="31" hidden="1" customWidth="1"/>
    <col min="27" max="27" width="0.28515625" style="31" hidden="1" customWidth="1"/>
    <col min="28" max="28" width="4" style="31" hidden="1" customWidth="1"/>
    <col min="29" max="29" width="0.28515625" style="31" hidden="1" customWidth="1"/>
    <col min="30" max="30" width="28.140625" style="31" hidden="1" customWidth="1"/>
    <col min="31" max="31" width="0.140625" style="31" hidden="1" customWidth="1"/>
    <col min="32" max="32" width="14.28515625" style="31" hidden="1" customWidth="1"/>
    <col min="33" max="33" width="0.140625" style="31" hidden="1" customWidth="1"/>
    <col min="34" max="34" width="7.28515625" style="31" hidden="1" customWidth="1"/>
    <col min="35" max="35" width="20.140625" style="31" hidden="1" customWidth="1"/>
    <col min="36" max="36" width="0.28515625" style="31" hidden="1" customWidth="1"/>
    <col min="37" max="37" width="10" style="31" hidden="1" customWidth="1"/>
    <col min="38" max="38" width="76.28515625" style="31" customWidth="1"/>
    <col min="39" max="39" width="18.7109375" style="31" customWidth="1"/>
    <col min="40" max="40" width="21.42578125" style="31" customWidth="1"/>
    <col min="41" max="41" width="14" style="31" customWidth="1"/>
    <col min="42" max="42" width="10.42578125" style="31" customWidth="1"/>
    <col min="43" max="16324" width="9.140625" style="31"/>
    <col min="16325" max="16358" width="9.140625" style="31" hidden="1" customWidth="1"/>
    <col min="16359" max="16359" width="17.85546875" style="31" hidden="1" customWidth="1"/>
    <col min="16360" max="16360" width="19.7109375" style="31" hidden="1" customWidth="1"/>
    <col min="16361" max="16361" width="9.85546875" style="31" hidden="1" customWidth="1"/>
    <col min="16362" max="16362" width="24.140625" style="31" hidden="1" customWidth="1"/>
    <col min="16363" max="16363" width="17" style="31" hidden="1" customWidth="1"/>
    <col min="16364" max="16364" width="17.85546875" style="31" hidden="1" customWidth="1"/>
    <col min="16365" max="16365" width="11.85546875" style="31" hidden="1" customWidth="1"/>
    <col min="16366" max="16366" width="10.85546875" style="31" hidden="1" customWidth="1"/>
    <col min="16367" max="16367" width="4.7109375" style="31" hidden="1" customWidth="1"/>
    <col min="16368" max="16368" width="20.42578125" style="31" hidden="1" customWidth="1"/>
    <col min="16369" max="16369" width="12.28515625" style="31" hidden="1" customWidth="1"/>
    <col min="16370" max="16370" width="4" style="31" hidden="1" customWidth="1"/>
    <col min="16371" max="16371" width="9.85546875" style="31" hidden="1" customWidth="1"/>
    <col min="16372" max="16372" width="3.140625" style="31" hidden="1" customWidth="1"/>
    <col min="16373" max="16373" width="10" style="31" hidden="1" customWidth="1"/>
    <col min="16374" max="16374" width="6" style="31" hidden="1" customWidth="1"/>
    <col min="16375" max="16375" width="17.28515625" style="31" hidden="1" customWidth="1"/>
    <col min="16376" max="16376" width="15.5703125" style="31" hidden="1" customWidth="1"/>
    <col min="16377" max="16377" width="6.42578125" style="31" hidden="1" customWidth="1"/>
    <col min="16378" max="16378" width="7.140625" style="31" hidden="1" customWidth="1"/>
    <col min="16379" max="16379" width="7.28515625" style="31" hidden="1" customWidth="1"/>
    <col min="16380" max="16380" width="8.85546875" style="31" hidden="1" customWidth="1"/>
    <col min="16381" max="16381" width="13.7109375" style="31" hidden="1" customWidth="1"/>
    <col min="16382" max="16382" width="8.5703125" style="31" hidden="1" customWidth="1"/>
    <col min="16383" max="16383" width="9.28515625" style="31" hidden="1" customWidth="1"/>
    <col min="16384" max="16384" width="6.28515625" style="31" hidden="1" customWidth="1"/>
  </cols>
  <sheetData>
    <row r="1" spans="1:40" x14ac:dyDescent="0.25">
      <c r="B1" s="31"/>
      <c r="H1" s="144"/>
      <c r="AL1" s="165"/>
    </row>
    <row r="2" spans="1:40" x14ac:dyDescent="0.25">
      <c r="B2" s="31"/>
      <c r="J2" s="31" t="s">
        <v>62</v>
      </c>
      <c r="AL2" s="165"/>
    </row>
    <row r="3" spans="1:40" ht="15" customHeight="1" x14ac:dyDescent="0.25">
      <c r="B3" s="163" t="s">
        <v>52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</row>
    <row r="4" spans="1:40" ht="15" customHeight="1" x14ac:dyDescent="0.2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</row>
    <row r="5" spans="1:40" ht="15" customHeight="1" x14ac:dyDescent="0.2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</row>
    <row r="6" spans="1:40" ht="15" customHeight="1" x14ac:dyDescent="0.2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</row>
    <row r="7" spans="1:40" ht="15.75" thickBot="1" x14ac:dyDescent="0.3">
      <c r="B7" s="31"/>
      <c r="AL7" s="165"/>
    </row>
    <row r="8" spans="1:40" ht="15.75" thickBot="1" x14ac:dyDescent="0.3">
      <c r="B8" s="104" t="s">
        <v>32</v>
      </c>
      <c r="C8" s="79" t="s">
        <v>20</v>
      </c>
      <c r="D8" s="79" t="s">
        <v>21</v>
      </c>
      <c r="E8" s="85" t="s">
        <v>22</v>
      </c>
      <c r="F8" s="104" t="s">
        <v>33</v>
      </c>
      <c r="G8" s="84" t="s">
        <v>20</v>
      </c>
      <c r="H8" s="84" t="s">
        <v>21</v>
      </c>
      <c r="I8" s="85" t="s">
        <v>22</v>
      </c>
      <c r="J8" s="105" t="s">
        <v>63</v>
      </c>
      <c r="K8" s="79" t="s">
        <v>20</v>
      </c>
      <c r="L8" s="79" t="s">
        <v>21</v>
      </c>
      <c r="M8" s="85" t="s">
        <v>22</v>
      </c>
      <c r="N8" s="105" t="s">
        <v>34</v>
      </c>
      <c r="O8" s="84" t="s">
        <v>20</v>
      </c>
      <c r="P8" s="84" t="s">
        <v>21</v>
      </c>
      <c r="Q8" s="85" t="s">
        <v>22</v>
      </c>
      <c r="R8" s="105" t="s">
        <v>35</v>
      </c>
      <c r="S8" s="79" t="s">
        <v>20</v>
      </c>
      <c r="T8" s="79" t="s">
        <v>21</v>
      </c>
      <c r="U8" s="85" t="s">
        <v>22</v>
      </c>
      <c r="V8" s="105" t="s">
        <v>36</v>
      </c>
      <c r="W8" s="79" t="s">
        <v>20</v>
      </c>
      <c r="X8" s="79" t="s">
        <v>21</v>
      </c>
      <c r="Y8" s="85" t="s">
        <v>22</v>
      </c>
      <c r="Z8" s="105" t="s">
        <v>37</v>
      </c>
      <c r="AA8" s="79" t="s">
        <v>20</v>
      </c>
      <c r="AB8" s="79" t="s">
        <v>21</v>
      </c>
      <c r="AC8" s="85" t="s">
        <v>22</v>
      </c>
      <c r="AD8" s="105" t="s">
        <v>38</v>
      </c>
      <c r="AE8" s="79" t="s">
        <v>20</v>
      </c>
      <c r="AF8" s="79" t="s">
        <v>21</v>
      </c>
      <c r="AG8" s="135"/>
      <c r="AH8" s="85"/>
      <c r="AI8" s="140"/>
      <c r="AK8" s="141"/>
      <c r="AL8" s="165"/>
    </row>
    <row r="9" spans="1:40" ht="15" customHeight="1" x14ac:dyDescent="0.25">
      <c r="B9" s="77" t="s">
        <v>39</v>
      </c>
      <c r="C9" s="78"/>
      <c r="D9" s="78" t="s">
        <v>23</v>
      </c>
      <c r="E9" s="89" t="s">
        <v>84</v>
      </c>
      <c r="F9" s="80" t="s">
        <v>64</v>
      </c>
      <c r="G9" s="78"/>
      <c r="H9" s="78"/>
      <c r="I9" s="90" t="s">
        <v>41</v>
      </c>
      <c r="J9" s="81" t="s">
        <v>68</v>
      </c>
      <c r="K9" s="78"/>
      <c r="L9" s="78"/>
      <c r="M9" s="92" t="s">
        <v>42</v>
      </c>
      <c r="N9" s="80" t="s">
        <v>43</v>
      </c>
      <c r="O9" s="78"/>
      <c r="P9" s="78"/>
      <c r="Q9" s="92" t="s">
        <v>48</v>
      </c>
      <c r="R9" s="80" t="s">
        <v>46</v>
      </c>
      <c r="S9" s="78"/>
      <c r="T9" s="78"/>
      <c r="U9" s="90" t="s">
        <v>45</v>
      </c>
      <c r="V9" s="80" t="s">
        <v>54</v>
      </c>
      <c r="W9" s="78"/>
      <c r="X9" s="78"/>
      <c r="Y9" s="90" t="s">
        <v>49</v>
      </c>
      <c r="Z9" s="80" t="s">
        <v>56</v>
      </c>
      <c r="AA9" s="78"/>
      <c r="AB9" s="78"/>
      <c r="AC9" s="90" t="s">
        <v>50</v>
      </c>
      <c r="AD9" s="80" t="s">
        <v>57</v>
      </c>
      <c r="AE9" s="78"/>
      <c r="AF9" s="78"/>
      <c r="AG9" s="136"/>
      <c r="AH9" s="90"/>
      <c r="AI9" s="143"/>
      <c r="AK9" s="89"/>
      <c r="AL9" s="165"/>
      <c r="AM9" s="63"/>
      <c r="AN9" s="63"/>
    </row>
    <row r="10" spans="1:40" ht="15" customHeight="1" x14ac:dyDescent="0.3">
      <c r="B10" s="74" t="s">
        <v>40</v>
      </c>
      <c r="C10" s="70"/>
      <c r="D10" s="70"/>
      <c r="E10" s="89" t="s">
        <v>84</v>
      </c>
      <c r="F10" s="73" t="s">
        <v>65</v>
      </c>
      <c r="G10" s="70"/>
      <c r="H10" s="70"/>
      <c r="I10" s="91" t="s">
        <v>41</v>
      </c>
      <c r="J10" s="82" t="s">
        <v>68</v>
      </c>
      <c r="K10" s="70"/>
      <c r="L10" s="70"/>
      <c r="M10" s="93" t="s">
        <v>42</v>
      </c>
      <c r="N10" s="73" t="s">
        <v>44</v>
      </c>
      <c r="O10" s="70"/>
      <c r="P10" s="70"/>
      <c r="Q10" s="93" t="s">
        <v>48</v>
      </c>
      <c r="R10" s="73" t="s">
        <v>47</v>
      </c>
      <c r="S10" s="70"/>
      <c r="T10" s="70"/>
      <c r="U10" s="91" t="s">
        <v>45</v>
      </c>
      <c r="V10" s="73" t="s">
        <v>55</v>
      </c>
      <c r="W10" s="70"/>
      <c r="X10" s="70"/>
      <c r="Y10" s="91" t="s">
        <v>49</v>
      </c>
      <c r="Z10" s="73"/>
      <c r="AA10" s="70"/>
      <c r="AB10" s="70"/>
      <c r="AC10" s="91" t="s">
        <v>50</v>
      </c>
      <c r="AD10" s="73"/>
      <c r="AE10" s="70"/>
      <c r="AF10" s="70"/>
      <c r="AG10" s="137"/>
      <c r="AH10" s="91"/>
      <c r="AI10" s="142"/>
      <c r="AK10" s="89"/>
      <c r="AL10" s="165"/>
    </row>
    <row r="11" spans="1:40" ht="15" customHeight="1" x14ac:dyDescent="0.25">
      <c r="B11" s="74" t="s">
        <v>58</v>
      </c>
      <c r="C11" s="71"/>
      <c r="D11" s="71"/>
      <c r="E11" s="89" t="s">
        <v>84</v>
      </c>
      <c r="F11" s="83" t="s">
        <v>66</v>
      </c>
      <c r="G11" s="71"/>
      <c r="H11" s="71"/>
      <c r="I11" s="91" t="s">
        <v>41</v>
      </c>
      <c r="J11" s="145" t="s">
        <v>68</v>
      </c>
      <c r="K11" s="71"/>
      <c r="L11" s="71"/>
      <c r="M11" s="93" t="s">
        <v>42</v>
      </c>
      <c r="N11" s="72"/>
      <c r="O11" s="71"/>
      <c r="P11" s="71"/>
      <c r="Q11" s="93" t="s">
        <v>48</v>
      </c>
      <c r="R11" s="72"/>
      <c r="S11" s="71"/>
      <c r="T11" s="71"/>
      <c r="U11" s="91" t="s">
        <v>45</v>
      </c>
      <c r="V11" s="72"/>
      <c r="W11" s="71"/>
      <c r="X11" s="71"/>
      <c r="Y11" s="91" t="s">
        <v>49</v>
      </c>
      <c r="Z11" s="72"/>
      <c r="AA11" s="71"/>
      <c r="AB11" s="71"/>
      <c r="AC11" s="91" t="s">
        <v>50</v>
      </c>
      <c r="AD11" s="72"/>
      <c r="AE11" s="71"/>
      <c r="AF11" s="71"/>
      <c r="AG11" s="138"/>
      <c r="AH11" s="91"/>
      <c r="AK11" s="89"/>
      <c r="AL11" s="165"/>
    </row>
    <row r="12" spans="1:40" ht="15" customHeight="1" x14ac:dyDescent="0.25">
      <c r="B12" s="74" t="s">
        <v>80</v>
      </c>
      <c r="C12" s="71"/>
      <c r="D12" s="71"/>
      <c r="E12" s="89" t="s">
        <v>84</v>
      </c>
      <c r="F12" s="82" t="s">
        <v>67</v>
      </c>
      <c r="G12" s="71"/>
      <c r="H12" s="71"/>
      <c r="I12" s="91" t="s">
        <v>41</v>
      </c>
      <c r="J12" s="31" t="s">
        <v>69</v>
      </c>
      <c r="K12" s="71"/>
      <c r="L12" s="71"/>
      <c r="M12" s="93" t="s">
        <v>42</v>
      </c>
      <c r="N12" s="73"/>
      <c r="O12" s="71"/>
      <c r="P12" s="71"/>
      <c r="Q12" s="93" t="s">
        <v>48</v>
      </c>
      <c r="R12" s="73"/>
      <c r="S12" s="71"/>
      <c r="T12" s="71"/>
      <c r="U12" s="91" t="s">
        <v>45</v>
      </c>
      <c r="V12" s="139"/>
      <c r="W12" s="71"/>
      <c r="X12" s="71"/>
      <c r="Y12" s="91" t="s">
        <v>49</v>
      </c>
      <c r="Z12" s="73"/>
      <c r="AA12" s="71"/>
      <c r="AB12" s="71"/>
      <c r="AC12" s="91" t="s">
        <v>50</v>
      </c>
      <c r="AD12" s="73"/>
      <c r="AE12" s="71"/>
      <c r="AF12" s="71"/>
      <c r="AG12" s="138"/>
      <c r="AH12" s="91"/>
      <c r="AK12" s="89"/>
      <c r="AL12" s="165"/>
    </row>
    <row r="13" spans="1:40" ht="15" customHeight="1" x14ac:dyDescent="0.25">
      <c r="B13" s="74"/>
      <c r="C13" s="70"/>
      <c r="D13" s="70"/>
      <c r="E13" s="89" t="s">
        <v>84</v>
      </c>
      <c r="F13" s="83"/>
      <c r="G13" s="70"/>
      <c r="H13" s="70"/>
      <c r="I13" s="91" t="s">
        <v>41</v>
      </c>
      <c r="J13" s="72"/>
      <c r="K13" s="70"/>
      <c r="L13" s="70"/>
      <c r="M13" s="93" t="s">
        <v>42</v>
      </c>
      <c r="N13" s="72"/>
      <c r="O13" s="70"/>
      <c r="P13" s="70"/>
      <c r="Q13" s="93" t="s">
        <v>48</v>
      </c>
      <c r="R13" s="72"/>
      <c r="S13" s="70"/>
      <c r="T13" s="70"/>
      <c r="U13" s="91" t="s">
        <v>45</v>
      </c>
      <c r="V13" s="72"/>
      <c r="W13" s="70"/>
      <c r="X13" s="70"/>
      <c r="Y13" s="91" t="s">
        <v>49</v>
      </c>
      <c r="Z13" s="72"/>
      <c r="AA13" s="70"/>
      <c r="AB13" s="70"/>
      <c r="AC13" s="91" t="s">
        <v>50</v>
      </c>
      <c r="AD13" s="72"/>
      <c r="AE13" s="70"/>
      <c r="AF13" s="70"/>
      <c r="AG13" s="137"/>
      <c r="AH13" s="91"/>
      <c r="AK13" s="89"/>
      <c r="AL13" s="165"/>
    </row>
    <row r="14" spans="1:40" ht="15" customHeight="1" x14ac:dyDescent="0.25">
      <c r="B14" s="74"/>
      <c r="C14" s="70"/>
      <c r="D14" s="70"/>
      <c r="E14" s="89" t="s">
        <v>84</v>
      </c>
      <c r="F14" s="83"/>
      <c r="G14" s="70"/>
      <c r="H14" s="70"/>
      <c r="I14" s="91" t="s">
        <v>41</v>
      </c>
      <c r="J14" s="72"/>
      <c r="K14" s="70"/>
      <c r="L14" s="70"/>
      <c r="M14" s="93" t="s">
        <v>42</v>
      </c>
      <c r="N14" s="72"/>
      <c r="O14" s="70"/>
      <c r="P14" s="70"/>
      <c r="Q14" s="93" t="s">
        <v>48</v>
      </c>
      <c r="R14" s="72"/>
      <c r="S14" s="70"/>
      <c r="T14" s="70"/>
      <c r="U14" s="91" t="s">
        <v>45</v>
      </c>
      <c r="V14" s="72"/>
      <c r="W14" s="70"/>
      <c r="X14" s="70"/>
      <c r="Y14" s="91" t="s">
        <v>49</v>
      </c>
      <c r="Z14" s="72"/>
      <c r="AA14" s="70"/>
      <c r="AB14" s="70"/>
      <c r="AC14" s="91" t="s">
        <v>50</v>
      </c>
      <c r="AD14" s="72"/>
      <c r="AE14" s="70"/>
      <c r="AF14" s="70"/>
      <c r="AG14" s="137"/>
      <c r="AH14" s="91"/>
      <c r="AK14" s="89"/>
      <c r="AL14" s="165"/>
    </row>
    <row r="15" spans="1:40" ht="15" customHeight="1" thickBot="1" x14ac:dyDescent="0.3">
      <c r="B15" s="74"/>
      <c r="C15" s="70"/>
      <c r="D15" s="70"/>
      <c r="E15" s="89" t="s">
        <v>84</v>
      </c>
      <c r="F15" s="83"/>
      <c r="G15" s="70"/>
      <c r="H15" s="70"/>
      <c r="I15" s="91" t="s">
        <v>41</v>
      </c>
      <c r="J15" s="72"/>
      <c r="K15" s="70"/>
      <c r="L15" s="70"/>
      <c r="M15" s="93" t="s">
        <v>42</v>
      </c>
      <c r="N15" s="72"/>
      <c r="O15" s="70"/>
      <c r="P15" s="70"/>
      <c r="Q15" s="93" t="s">
        <v>48</v>
      </c>
      <c r="R15" s="72"/>
      <c r="S15" s="70"/>
      <c r="T15" s="70"/>
      <c r="U15" s="91" t="s">
        <v>45</v>
      </c>
      <c r="V15" s="72"/>
      <c r="W15" s="70"/>
      <c r="X15" s="70"/>
      <c r="Y15" s="91" t="s">
        <v>49</v>
      </c>
      <c r="Z15" s="72"/>
      <c r="AA15" s="70"/>
      <c r="AB15" s="70"/>
      <c r="AC15" s="91" t="s">
        <v>50</v>
      </c>
      <c r="AD15" s="72"/>
      <c r="AE15" s="70"/>
      <c r="AF15" s="70"/>
      <c r="AG15" s="137"/>
      <c r="AH15" s="91" t="s">
        <v>51</v>
      </c>
      <c r="AK15" s="89"/>
      <c r="AL15" s="165"/>
    </row>
    <row r="16" spans="1:40" x14ac:dyDescent="0.25">
      <c r="A16" s="43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3"/>
      <c r="T16" s="43"/>
      <c r="U16" s="43"/>
      <c r="V16" s="45"/>
      <c r="W16" s="43"/>
      <c r="X16" s="43"/>
      <c r="Y16" s="43"/>
      <c r="Z16" s="45"/>
      <c r="AA16" s="43"/>
      <c r="AB16" s="43"/>
      <c r="AC16" s="43"/>
      <c r="AD16" s="45"/>
      <c r="AE16" s="43"/>
      <c r="AF16" s="43"/>
      <c r="AG16" s="43"/>
      <c r="AH16" s="43"/>
      <c r="AI16" s="164"/>
      <c r="AJ16" s="164"/>
      <c r="AK16" s="164"/>
      <c r="AL16" s="164"/>
    </row>
    <row r="17" spans="1:38" x14ac:dyDescent="0.25">
      <c r="A17" s="43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43"/>
      <c r="T17" s="43"/>
      <c r="U17" s="43"/>
      <c r="V17" s="45"/>
      <c r="W17" s="43"/>
      <c r="X17" s="43"/>
      <c r="Y17" s="43"/>
      <c r="Z17" s="45"/>
      <c r="AA17" s="43"/>
      <c r="AB17" s="43"/>
      <c r="AC17" s="43"/>
      <c r="AD17" s="45"/>
      <c r="AE17" s="43"/>
      <c r="AF17" s="43"/>
      <c r="AG17" s="43"/>
      <c r="AH17" s="43"/>
      <c r="AI17" s="164"/>
      <c r="AJ17" s="164"/>
      <c r="AK17" s="164"/>
      <c r="AL17" s="164"/>
    </row>
    <row r="18" spans="1:38" x14ac:dyDescent="0.25">
      <c r="A18" s="43"/>
      <c r="B18" s="44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164"/>
      <c r="AJ18" s="164"/>
      <c r="AK18" s="164"/>
      <c r="AL18" s="164"/>
    </row>
    <row r="19" spans="1:38" x14ac:dyDescent="0.25">
      <c r="A19" s="43"/>
      <c r="B19" s="44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164"/>
      <c r="AJ19" s="164"/>
      <c r="AK19" s="164"/>
      <c r="AL19" s="164"/>
    </row>
    <row r="20" spans="1:38" x14ac:dyDescent="0.25">
      <c r="A20" s="43"/>
      <c r="B20" s="44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164"/>
      <c r="AJ20" s="164"/>
      <c r="AK20" s="164"/>
      <c r="AL20" s="164"/>
    </row>
    <row r="21" spans="1:38" x14ac:dyDescent="0.25">
      <c r="A21" s="43"/>
      <c r="B21" s="44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164"/>
      <c r="AJ21" s="164"/>
      <c r="AK21" s="164"/>
      <c r="AL21" s="164"/>
    </row>
    <row r="22" spans="1:38" x14ac:dyDescent="0.25">
      <c r="A22" s="43"/>
      <c r="B22" s="44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164"/>
      <c r="AJ22" s="164"/>
      <c r="AK22" s="164"/>
      <c r="AL22" s="164"/>
    </row>
    <row r="23" spans="1:38" x14ac:dyDescent="0.25">
      <c r="A23" s="43"/>
      <c r="B23" s="44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164"/>
      <c r="AJ23" s="164"/>
      <c r="AK23" s="164"/>
      <c r="AL23" s="164"/>
    </row>
    <row r="24" spans="1:38" x14ac:dyDescent="0.25">
      <c r="A24" s="43"/>
      <c r="B24" s="4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164"/>
      <c r="AJ24" s="164"/>
      <c r="AK24" s="164"/>
      <c r="AL24" s="164"/>
    </row>
    <row r="25" spans="1:38" x14ac:dyDescent="0.25">
      <c r="A25" s="43"/>
      <c r="B25" s="44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164"/>
      <c r="AJ25" s="164"/>
      <c r="AK25" s="164"/>
      <c r="AL25" s="164"/>
    </row>
    <row r="26" spans="1:38" x14ac:dyDescent="0.25">
      <c r="A26" s="43"/>
      <c r="B26" s="4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</row>
    <row r="27" spans="1:38" x14ac:dyDescent="0.25">
      <c r="A27" s="43"/>
      <c r="B27" s="44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</row>
    <row r="28" spans="1:38" x14ac:dyDescent="0.25">
      <c r="A28" s="43"/>
      <c r="B28" s="4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</row>
    <row r="29" spans="1:38" x14ac:dyDescent="0.25">
      <c r="A29" s="43"/>
      <c r="B29" s="44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</row>
    <row r="30" spans="1:38" x14ac:dyDescent="0.25">
      <c r="A30" s="43"/>
      <c r="B30" s="44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</row>
    <row r="31" spans="1:38" x14ac:dyDescent="0.25">
      <c r="A31" s="43"/>
      <c r="B31" s="4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</row>
    <row r="32" spans="1:38" x14ac:dyDescent="0.25">
      <c r="A32" s="43"/>
      <c r="B32" s="44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</row>
  </sheetData>
  <sheetProtection formatCells="0" formatColumns="0" formatRows="0" sort="0"/>
  <protectedRanges>
    <protectedRange sqref="AI8:AK8 AI9:AJ15" name="culture"/>
  </protectedRanges>
  <mergeCells count="5">
    <mergeCell ref="B16:R17"/>
    <mergeCell ref="B3:AL6"/>
    <mergeCell ref="AI16:AL25"/>
    <mergeCell ref="AL1:AL2"/>
    <mergeCell ref="AL7:AL1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EX11"/>
  <sheetViews>
    <sheetView topLeftCell="K1" zoomScale="85" zoomScaleNormal="85" workbookViewId="0">
      <selection activeCell="B1" sqref="B1"/>
    </sheetView>
  </sheetViews>
  <sheetFormatPr defaultColWidth="0" defaultRowHeight="15" x14ac:dyDescent="0.25"/>
  <cols>
    <col min="1" max="1" width="12.140625" style="5" customWidth="1"/>
    <col min="2" max="2" width="19" style="6" customWidth="1"/>
    <col min="3" max="3" width="23.42578125" style="1" customWidth="1"/>
    <col min="4" max="4" width="59.5703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42" customWidth="1"/>
    <col min="12" max="12" width="17.7109375" customWidth="1"/>
    <col min="13" max="13" width="9.140625" customWidth="1"/>
    <col min="14" max="14" width="0.28515625" style="152" customWidth="1"/>
    <col min="15" max="15" width="0.28515625" customWidth="1"/>
    <col min="16" max="16" width="6.140625" hidden="1" customWidth="1"/>
    <col min="17" max="17" width="28.42578125" style="69" hidden="1" customWidth="1"/>
    <col min="18" max="18" width="24.85546875" style="31" hidden="1" customWidth="1"/>
    <col min="19" max="19" width="22.85546875" style="69" hidden="1" customWidth="1"/>
    <col min="20" max="20" width="27.5703125" style="31" hidden="1" customWidth="1"/>
    <col min="21" max="21" width="31.5703125" style="69" hidden="1" customWidth="1"/>
    <col min="22" max="22" width="4.85546875" style="31" hidden="1" customWidth="1"/>
    <col min="23" max="23" width="18.85546875" style="69" hidden="1" customWidth="1"/>
    <col min="24" max="24" width="18.85546875" style="31" hidden="1" customWidth="1"/>
    <col min="25" max="25" width="16.5703125" style="69" hidden="1" customWidth="1"/>
    <col min="26" max="26" width="21.5703125" style="31" hidden="1" customWidth="1"/>
    <col min="27" max="27" width="23.140625" style="69" hidden="1" customWidth="1"/>
    <col min="28" max="28" width="21.28515625" style="31" hidden="1" customWidth="1"/>
    <col min="29" max="29" width="21" style="69" hidden="1" customWidth="1"/>
    <col min="30" max="30" width="21.5703125" style="31" hidden="1" customWidth="1"/>
    <col min="31" max="31" width="36.5703125" style="69" hidden="1" customWidth="1"/>
    <col min="32" max="32" width="34" hidden="1" customWidth="1"/>
    <col min="33" max="33" width="32.85546875" hidden="1" customWidth="1"/>
    <col min="34" max="35" width="9.140625" hidden="1" customWidth="1"/>
    <col min="36" max="16378" width="9.140625" hidden="1"/>
    <col min="16379" max="16379" width="3.85546875" customWidth="1"/>
    <col min="16380" max="16380" width="2.5703125" customWidth="1"/>
    <col min="16381" max="16381" width="4" customWidth="1"/>
    <col min="16382" max="16382" width="4.85546875" customWidth="1"/>
    <col min="16383" max="16383" width="2.85546875" customWidth="1"/>
    <col min="16384" max="16384" width="0.5703125" customWidth="1"/>
  </cols>
  <sheetData>
    <row r="1" spans="1:33" x14ac:dyDescent="0.25">
      <c r="A1" s="154" t="s">
        <v>75</v>
      </c>
      <c r="B1" s="155" t="s">
        <v>76</v>
      </c>
      <c r="C1" s="153" t="s">
        <v>19</v>
      </c>
      <c r="D1" s="153" t="s">
        <v>74</v>
      </c>
      <c r="E1" s="8"/>
      <c r="F1" s="9"/>
      <c r="G1" s="8"/>
      <c r="H1" s="8"/>
      <c r="I1" s="8"/>
      <c r="J1" s="8"/>
      <c r="K1" s="41"/>
      <c r="L1" s="134"/>
      <c r="P1" s="166" t="s">
        <v>70</v>
      </c>
      <c r="Q1" s="166"/>
      <c r="R1" s="166" t="s">
        <v>71</v>
      </c>
      <c r="S1" s="166"/>
      <c r="T1" s="166" t="s">
        <v>72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27</v>
      </c>
      <c r="AC1" s="166"/>
      <c r="AD1" s="166" t="s">
        <v>18</v>
      </c>
      <c r="AE1" s="166"/>
      <c r="AF1" s="167" t="s">
        <v>61</v>
      </c>
      <c r="AG1" s="165"/>
    </row>
    <row r="2" spans="1:33" x14ac:dyDescent="0.25">
      <c r="P2" s="75" t="str">
        <f>Candidates!B9</f>
        <v>Jonas Adiku</v>
      </c>
      <c r="Q2" s="76">
        <f t="shared" ref="Q2:Q11" si="0">COUNTIF(D:D,P2)</f>
        <v>0</v>
      </c>
      <c r="R2" s="75" t="str">
        <f>Candidates!F9</f>
        <v>hello</v>
      </c>
      <c r="S2" s="76">
        <f>COUNTIF(E:E,R2)</f>
        <v>0</v>
      </c>
      <c r="T2" s="75" t="str">
        <f>Candidates!J9</f>
        <v>kk</v>
      </c>
      <c r="U2" s="76">
        <f>COUNTIF(F:F,T2)</f>
        <v>0</v>
      </c>
      <c r="V2" s="75" t="str">
        <f>Candidates!N9</f>
        <v>Tahiru Basimyam</v>
      </c>
      <c r="W2" s="76">
        <f>COUNTIF(G:G,V2)</f>
        <v>0</v>
      </c>
      <c r="X2" s="75" t="str">
        <f>Candidates!R9</f>
        <v>Mbilla Asitang</v>
      </c>
      <c r="Y2" s="76">
        <f>COUNTIF(H:H,X2)</f>
        <v>0</v>
      </c>
      <c r="Z2" s="75" t="str">
        <f>Candidates!V9</f>
        <v>Atambugri Mary</v>
      </c>
      <c r="AA2" s="76">
        <f>COUNTIF(I:I,Z2)</f>
        <v>0</v>
      </c>
      <c r="AB2" s="75" t="str">
        <f>Candidates!Z9</f>
        <v xml:space="preserve">Issifu Hassana </v>
      </c>
      <c r="AC2" s="76">
        <f>COUNTIF(J:J,AB2)</f>
        <v>0</v>
      </c>
      <c r="AD2" s="75" t="str">
        <f>Candidates!AD9</f>
        <v>George Divine</v>
      </c>
      <c r="AE2" s="76">
        <f>COUNTIF(K:K,AD2)</f>
        <v>0</v>
      </c>
      <c r="AF2" s="147">
        <f>Candidates!AI9</f>
        <v>0</v>
      </c>
      <c r="AG2" s="146">
        <f>COUNTIF(L:L,AF2)</f>
        <v>0</v>
      </c>
    </row>
    <row r="3" spans="1:33" x14ac:dyDescent="0.25">
      <c r="P3" s="75" t="str">
        <f>Candidates!B10</f>
        <v>Divine Jonas</v>
      </c>
      <c r="Q3" s="76">
        <f t="shared" si="0"/>
        <v>0</v>
      </c>
      <c r="R3" s="75" t="str">
        <f>Candidates!F10</f>
        <v>fkgjrkr</v>
      </c>
      <c r="S3" s="76">
        <f t="shared" ref="S3:S11" si="1">COUNTIF(E:E,R3)</f>
        <v>0</v>
      </c>
      <c r="T3" s="75" t="str">
        <f>Candidates!J10</f>
        <v>kk</v>
      </c>
      <c r="U3" s="76">
        <f t="shared" ref="U3:U11" si="2">COUNTIF(F:F,T3)</f>
        <v>0</v>
      </c>
      <c r="V3" s="75" t="str">
        <f>Candidates!N10</f>
        <v>Aliko Jonas</v>
      </c>
      <c r="W3" s="76">
        <f t="shared" ref="W3:W11" si="3">COUNTIF(G:G,V3)</f>
        <v>0</v>
      </c>
      <c r="X3" s="75" t="str">
        <f>Candidates!R10</f>
        <v>Mohammed Salla</v>
      </c>
      <c r="Y3" s="76">
        <f t="shared" ref="Y3:Y11" si="4">COUNTIF(H:H,X3)</f>
        <v>0</v>
      </c>
      <c r="Z3" s="75" t="str">
        <f>Candidates!V10</f>
        <v xml:space="preserve">Mahmudu sukura </v>
      </c>
      <c r="AA3" s="76">
        <f t="shared" ref="AA3:AA11" si="5">COUNTIF(I:I,Z3)</f>
        <v>0</v>
      </c>
      <c r="AB3" s="75">
        <f>Candidates!Z10</f>
        <v>0</v>
      </c>
      <c r="AC3" s="76">
        <f t="shared" ref="AC3:AC11" si="6">COUNTIF(J:J,AB3)</f>
        <v>0</v>
      </c>
      <c r="AD3" s="75">
        <f>Candidates!AD10</f>
        <v>0</v>
      </c>
      <c r="AE3" s="76">
        <f t="shared" ref="AE3:AE11" si="7">COUNTIF(K:K,AD3)</f>
        <v>0</v>
      </c>
      <c r="AF3">
        <f>Candidates!AI10</f>
        <v>0</v>
      </c>
      <c r="AG3">
        <f>COUNTIF(L:L,AF3)</f>
        <v>0</v>
      </c>
    </row>
    <row r="4" spans="1:33" x14ac:dyDescent="0.25">
      <c r="P4" s="75" t="str">
        <f>Candidates!B11</f>
        <v>Abugri Awini</v>
      </c>
      <c r="Q4" s="76">
        <f t="shared" si="0"/>
        <v>0</v>
      </c>
      <c r="R4" s="75" t="str">
        <f>Candidates!F11</f>
        <v>nnkfngkfngkfr</v>
      </c>
      <c r="S4" s="76">
        <f t="shared" si="1"/>
        <v>0</v>
      </c>
      <c r="T4" s="75" t="str">
        <f>Candidates!J11</f>
        <v>kk</v>
      </c>
      <c r="U4" s="76">
        <f t="shared" si="2"/>
        <v>0</v>
      </c>
      <c r="V4" s="75">
        <f>Candidates!N11</f>
        <v>0</v>
      </c>
      <c r="W4" s="76">
        <f t="shared" si="3"/>
        <v>0</v>
      </c>
      <c r="X4" s="75">
        <f>Candidates!R11</f>
        <v>0</v>
      </c>
      <c r="Y4" s="76">
        <f t="shared" si="4"/>
        <v>0</v>
      </c>
      <c r="Z4" s="75">
        <f>Candidates!V11</f>
        <v>0</v>
      </c>
      <c r="AA4" s="76">
        <f t="shared" si="5"/>
        <v>0</v>
      </c>
      <c r="AB4" s="75">
        <f>Candidates!Z11</f>
        <v>0</v>
      </c>
      <c r="AC4" s="76">
        <f t="shared" si="6"/>
        <v>0</v>
      </c>
      <c r="AD4" s="75">
        <f>Candidates!AD11</f>
        <v>0</v>
      </c>
      <c r="AE4" s="76">
        <f t="shared" si="7"/>
        <v>0</v>
      </c>
      <c r="AF4">
        <f>Candidates!AI11</f>
        <v>0</v>
      </c>
      <c r="AG4">
        <f>COUNTIF(L:L,AF4)</f>
        <v>0</v>
      </c>
    </row>
    <row r="5" spans="1:33" x14ac:dyDescent="0.25">
      <c r="P5" s="75" t="str">
        <f>Candidates!B12</f>
        <v>Bugri Tilata</v>
      </c>
      <c r="Q5" s="76">
        <f t="shared" si="0"/>
        <v>0</v>
      </c>
      <c r="R5" s="75" t="str">
        <f>Candidates!F12</f>
        <v>rekgnkrngkrg</v>
      </c>
      <c r="S5" s="76">
        <f t="shared" si="1"/>
        <v>0</v>
      </c>
      <c r="T5" s="75" t="str">
        <f>Candidates!J12</f>
        <v>kkk</v>
      </c>
      <c r="U5" s="76">
        <f t="shared" si="2"/>
        <v>0</v>
      </c>
      <c r="V5" s="75">
        <f>Candidates!N12</f>
        <v>0</v>
      </c>
      <c r="W5" s="76">
        <f t="shared" si="3"/>
        <v>0</v>
      </c>
      <c r="X5" s="75">
        <f>Candidates!R12</f>
        <v>0</v>
      </c>
      <c r="Y5" s="76">
        <f t="shared" si="4"/>
        <v>0</v>
      </c>
      <c r="Z5" s="75">
        <f>Candidates!V12</f>
        <v>0</v>
      </c>
      <c r="AA5" s="76">
        <f t="shared" si="5"/>
        <v>0</v>
      </c>
      <c r="AB5" s="75">
        <f>Candidates!Z12</f>
        <v>0</v>
      </c>
      <c r="AC5" s="76">
        <f t="shared" si="6"/>
        <v>0</v>
      </c>
      <c r="AD5" s="75">
        <f>Candidates!AD12</f>
        <v>0</v>
      </c>
      <c r="AE5" s="76">
        <f t="shared" si="7"/>
        <v>0</v>
      </c>
      <c r="AF5">
        <f>Candidates!AI12</f>
        <v>0</v>
      </c>
      <c r="AG5" s="146">
        <f>COUNTIF(L:L,AF5)</f>
        <v>0</v>
      </c>
    </row>
    <row r="6" spans="1:33" x14ac:dyDescent="0.25">
      <c r="P6" s="75">
        <f>Candidates!B13</f>
        <v>0</v>
      </c>
      <c r="Q6" s="76">
        <f t="shared" si="0"/>
        <v>0</v>
      </c>
      <c r="R6" s="75">
        <f>Candidates!F13</f>
        <v>0</v>
      </c>
      <c r="S6" s="76">
        <f t="shared" si="1"/>
        <v>0</v>
      </c>
      <c r="T6" s="75">
        <f>Candidates!J13</f>
        <v>0</v>
      </c>
      <c r="U6" s="76">
        <f t="shared" si="2"/>
        <v>0</v>
      </c>
      <c r="V6" s="75">
        <f>Candidates!N13</f>
        <v>0</v>
      </c>
      <c r="W6" s="76">
        <f t="shared" si="3"/>
        <v>0</v>
      </c>
      <c r="X6" s="75">
        <f>Candidates!R13</f>
        <v>0</v>
      </c>
      <c r="Y6" s="76">
        <f t="shared" si="4"/>
        <v>0</v>
      </c>
      <c r="Z6" s="75">
        <f>Candidates!V13</f>
        <v>0</v>
      </c>
      <c r="AA6" s="76">
        <f t="shared" si="5"/>
        <v>0</v>
      </c>
      <c r="AB6" s="75">
        <f>Candidates!Z13</f>
        <v>0</v>
      </c>
      <c r="AC6" s="76">
        <f t="shared" si="6"/>
        <v>0</v>
      </c>
      <c r="AD6" s="75">
        <f>Candidates!AD13</f>
        <v>0</v>
      </c>
      <c r="AE6" s="76">
        <f t="shared" si="7"/>
        <v>0</v>
      </c>
      <c r="AF6" s="146">
        <f>Candidates!AI13</f>
        <v>0</v>
      </c>
      <c r="AG6">
        <f>COUNTIF(L:L,AF6)</f>
        <v>0</v>
      </c>
    </row>
    <row r="7" spans="1:33" x14ac:dyDescent="0.25">
      <c r="P7" s="75">
        <f>Candidates!B14</f>
        <v>0</v>
      </c>
      <c r="Q7" s="76">
        <f t="shared" si="0"/>
        <v>0</v>
      </c>
      <c r="R7" s="75">
        <f>Candidates!F14</f>
        <v>0</v>
      </c>
      <c r="S7" s="76">
        <f t="shared" si="1"/>
        <v>0</v>
      </c>
      <c r="T7" s="75">
        <f>Candidates!J14</f>
        <v>0</v>
      </c>
      <c r="U7" s="76">
        <f t="shared" si="2"/>
        <v>0</v>
      </c>
      <c r="V7" s="75">
        <f>Candidates!N14</f>
        <v>0</v>
      </c>
      <c r="W7" s="76">
        <f t="shared" si="3"/>
        <v>0</v>
      </c>
      <c r="X7" s="75">
        <f>Candidates!R14</f>
        <v>0</v>
      </c>
      <c r="Y7" s="76">
        <f t="shared" si="4"/>
        <v>0</v>
      </c>
      <c r="Z7" s="75">
        <f>Candidates!V14</f>
        <v>0</v>
      </c>
      <c r="AA7" s="76">
        <f t="shared" si="5"/>
        <v>0</v>
      </c>
      <c r="AB7" s="75">
        <f>Candidates!Z14</f>
        <v>0</v>
      </c>
      <c r="AC7" s="76">
        <f t="shared" si="6"/>
        <v>0</v>
      </c>
      <c r="AD7" s="75">
        <f>Candidates!AD14</f>
        <v>0</v>
      </c>
      <c r="AE7" s="76">
        <f t="shared" si="7"/>
        <v>0</v>
      </c>
      <c r="AF7" s="146">
        <f>Candidates!AI14</f>
        <v>0</v>
      </c>
    </row>
    <row r="8" spans="1:33" x14ac:dyDescent="0.25">
      <c r="P8" s="75">
        <f>Candidates!B15</f>
        <v>0</v>
      </c>
      <c r="Q8" s="76">
        <f t="shared" si="0"/>
        <v>0</v>
      </c>
      <c r="R8" s="75">
        <f>Candidates!F15</f>
        <v>0</v>
      </c>
      <c r="S8" s="76">
        <f t="shared" si="1"/>
        <v>0</v>
      </c>
      <c r="T8" s="75">
        <f>Candidates!J15</f>
        <v>0</v>
      </c>
      <c r="U8" s="76">
        <f t="shared" si="2"/>
        <v>0</v>
      </c>
      <c r="V8" s="75">
        <f>Candidates!N15</f>
        <v>0</v>
      </c>
      <c r="W8" s="76">
        <f t="shared" si="3"/>
        <v>0</v>
      </c>
      <c r="X8" s="75">
        <f>Candidates!R15</f>
        <v>0</v>
      </c>
      <c r="Y8" s="76">
        <f t="shared" si="4"/>
        <v>0</v>
      </c>
      <c r="Z8" s="75">
        <f>Candidates!V15</f>
        <v>0</v>
      </c>
      <c r="AA8" s="76">
        <f t="shared" si="5"/>
        <v>0</v>
      </c>
      <c r="AB8" s="75">
        <f>Candidates!Z15</f>
        <v>0</v>
      </c>
      <c r="AC8" s="76">
        <f t="shared" si="6"/>
        <v>0</v>
      </c>
      <c r="AD8" s="75">
        <f>Candidates!AD15</f>
        <v>0</v>
      </c>
      <c r="AE8" s="76">
        <f t="shared" si="7"/>
        <v>0</v>
      </c>
    </row>
    <row r="9" spans="1:33" x14ac:dyDescent="0.25">
      <c r="P9" s="75" t="e">
        <f>Candidates!#REF!</f>
        <v>#REF!</v>
      </c>
      <c r="Q9" s="76">
        <f t="shared" si="0"/>
        <v>0</v>
      </c>
      <c r="R9" s="75" t="str">
        <f>Candidates!F12</f>
        <v>rekgnkrngkrg</v>
      </c>
      <c r="S9" s="76">
        <f t="shared" si="1"/>
        <v>0</v>
      </c>
      <c r="T9" s="75" t="e">
        <f>Candidates!#REF!</f>
        <v>#REF!</v>
      </c>
      <c r="U9" s="76">
        <f t="shared" si="2"/>
        <v>0</v>
      </c>
      <c r="V9" s="75" t="e">
        <f>Candidates!#REF!</f>
        <v>#REF!</v>
      </c>
      <c r="W9" s="76">
        <f t="shared" si="3"/>
        <v>0</v>
      </c>
      <c r="X9" s="75" t="e">
        <f>Candidates!#REF!</f>
        <v>#REF!</v>
      </c>
      <c r="Y9" s="76">
        <f t="shared" si="4"/>
        <v>0</v>
      </c>
      <c r="Z9" s="75" t="e">
        <f>Candidates!#REF!</f>
        <v>#REF!</v>
      </c>
      <c r="AA9" s="76">
        <f t="shared" si="5"/>
        <v>0</v>
      </c>
      <c r="AB9" s="75" t="e">
        <f>Candidates!#REF!</f>
        <v>#REF!</v>
      </c>
      <c r="AC9" s="76">
        <f t="shared" si="6"/>
        <v>0</v>
      </c>
      <c r="AD9" s="75" t="e">
        <f>Candidates!#REF!</f>
        <v>#REF!</v>
      </c>
      <c r="AE9" s="76">
        <f t="shared" si="7"/>
        <v>0</v>
      </c>
    </row>
    <row r="10" spans="1:33" x14ac:dyDescent="0.25">
      <c r="P10" s="75" t="e">
        <f>Candidates!#REF!</f>
        <v>#REF!</v>
      </c>
      <c r="Q10" s="76">
        <f t="shared" si="0"/>
        <v>0</v>
      </c>
      <c r="R10" s="75" t="e">
        <f>Candidates!#REF!</f>
        <v>#REF!</v>
      </c>
      <c r="S10" s="76">
        <f t="shared" si="1"/>
        <v>0</v>
      </c>
      <c r="T10" s="75" t="e">
        <f>Candidates!#REF!</f>
        <v>#REF!</v>
      </c>
      <c r="U10" s="76">
        <f t="shared" si="2"/>
        <v>0</v>
      </c>
      <c r="V10" s="75" t="e">
        <f>Candidates!#REF!</f>
        <v>#REF!</v>
      </c>
      <c r="W10" s="76">
        <f t="shared" si="3"/>
        <v>0</v>
      </c>
      <c r="X10" s="75" t="e">
        <f>Candidates!#REF!</f>
        <v>#REF!</v>
      </c>
      <c r="Y10" s="76">
        <f t="shared" si="4"/>
        <v>0</v>
      </c>
      <c r="Z10" s="75" t="e">
        <f>Candidates!#REF!</f>
        <v>#REF!</v>
      </c>
      <c r="AA10" s="76">
        <f t="shared" si="5"/>
        <v>0</v>
      </c>
      <c r="AB10" s="75" t="e">
        <f>Candidates!#REF!</f>
        <v>#REF!</v>
      </c>
      <c r="AC10" s="76">
        <f t="shared" si="6"/>
        <v>0</v>
      </c>
      <c r="AD10" s="75" t="e">
        <f>Candidates!#REF!</f>
        <v>#REF!</v>
      </c>
      <c r="AE10" s="76">
        <f t="shared" si="7"/>
        <v>0</v>
      </c>
    </row>
    <row r="11" spans="1:33" x14ac:dyDescent="0.25">
      <c r="P11" s="75" t="e">
        <f>Candidates!#REF!</f>
        <v>#REF!</v>
      </c>
      <c r="Q11" s="76">
        <f t="shared" si="0"/>
        <v>0</v>
      </c>
      <c r="R11" s="75" t="e">
        <f>Candidates!#REF!</f>
        <v>#REF!</v>
      </c>
      <c r="S11" s="76">
        <f t="shared" si="1"/>
        <v>0</v>
      </c>
      <c r="T11" s="75" t="e">
        <f>Candidates!#REF!</f>
        <v>#REF!</v>
      </c>
      <c r="U11" s="76">
        <f t="shared" si="2"/>
        <v>0</v>
      </c>
      <c r="V11" s="75" t="e">
        <f>Candidates!#REF!</f>
        <v>#REF!</v>
      </c>
      <c r="W11" s="76">
        <f t="shared" si="3"/>
        <v>0</v>
      </c>
      <c r="X11" s="75" t="e">
        <f>Candidates!#REF!</f>
        <v>#REF!</v>
      </c>
      <c r="Y11" s="76">
        <f t="shared" si="4"/>
        <v>0</v>
      </c>
      <c r="Z11" s="75" t="e">
        <f>Candidates!#REF!</f>
        <v>#REF!</v>
      </c>
      <c r="AA11" s="76">
        <f t="shared" si="5"/>
        <v>0</v>
      </c>
      <c r="AB11" s="75" t="e">
        <f>Candidates!#REF!</f>
        <v>#REF!</v>
      </c>
      <c r="AC11" s="76">
        <f t="shared" si="6"/>
        <v>0</v>
      </c>
      <c r="AD11" s="75" t="e">
        <f>Candidates!#REF!</f>
        <v>#REF!</v>
      </c>
      <c r="AE11" s="76">
        <f t="shared" si="7"/>
        <v>0</v>
      </c>
    </row>
  </sheetData>
  <mergeCells count="9"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Interface</vt:lpstr>
      <vt:lpstr>Admin</vt:lpstr>
      <vt:lpstr>Information</vt:lpstr>
      <vt:lpstr>Login Data</vt:lpstr>
      <vt:lpstr>Voter's Name</vt:lpstr>
      <vt:lpstr>Summary</vt:lpstr>
      <vt:lpstr>Candidates</vt:lpstr>
      <vt:lpstr>Tally of Votes</vt:lpstr>
      <vt:lpstr>AF</vt:lpstr>
      <vt:lpstr>agri</vt:lpstr>
      <vt:lpstr>agric</vt:lpstr>
      <vt:lpstr>AM</vt:lpstr>
      <vt:lpstr>aud</vt:lpstr>
      <vt:lpstr>Interface!Criteria</vt:lpstr>
      <vt:lpstr>culture</vt:lpstr>
      <vt:lpstr>pio</vt:lpstr>
      <vt:lpstr>po</vt:lpstr>
      <vt:lpstr>pres</vt:lpstr>
      <vt:lpstr>rep</vt:lpstr>
      <vt:lpstr>sec</vt:lpstr>
      <vt:lpstr>SheetNames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2020-02-11T00:33:01Z</cp:lastPrinted>
  <dcterms:created xsi:type="dcterms:W3CDTF">2013-12-17T18:48:02Z</dcterms:created>
  <dcterms:modified xsi:type="dcterms:W3CDTF">2021-11-07T15:40:58Z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